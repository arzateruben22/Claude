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Income" sheetId="3" state="visible" r:id="rId5"/>
    <sheet name="Expenses" sheetId="4" state="visible" r:id="rId6"/>
    <sheet name="Products" sheetId="5" state="visible" r:id="rId7"/>
    <sheet name="Month by Month" sheetId="6" state="visible" r:id="rId8"/>
    <sheet name="The Year at a Glan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<sst xmlns="http://schemas.openxmlformats.org/spreadsheetml/2006/main" count="155" uniqueCount="136">
  <si>
    <t xml:space="preserve">Bookkeeping &amp; Profit Tracker</t>
  </si>
  <si>
    <t xml:space="preserve">Made by a licensed esthetician. Works in Excel, Google Sheets and Numbers.</t>
  </si>
  <si>
    <t xml:space="preserve">HOW TO USE IT</t>
  </si>
  <si>
    <t xml:space="preserve">Step 1</t>
  </si>
  <si>
    <t xml:space="preserve">Open Settings. Put in the year, your card fee and how much to set aside for taxes. Rename the categories if you like.</t>
  </si>
  <si>
    <t xml:space="preserve">Step 2</t>
  </si>
  <si>
    <t xml:space="preserve">Every sale goes on the Income tab: date, client, what, category, amount, tip and how they paid.</t>
  </si>
  <si>
    <t xml:space="preserve">Step 3</t>
  </si>
  <si>
    <t xml:space="preserve">Every business cost goes on the Expenses tab, with its category. Save the receipt.</t>
  </si>
  <si>
    <t xml:space="preserve">Step 4</t>
  </si>
  <si>
    <t xml:space="preserve">List your retail products on the Products tab to see margins and when to reorder.</t>
  </si>
  <si>
    <t xml:space="preserve">Step 5</t>
  </si>
  <si>
    <t xml:space="preserve">Month by Month and The Year at a Glance fill themselves in. Check them on the first of each month.</t>
  </si>
  <si>
    <t xml:space="preserve">WHICH CELLS TO CHANGE</t>
  </si>
  <si>
    <t xml:space="preserve">Blue text</t>
  </si>
  <si>
    <t xml:space="preserve">Your numbers. Change these.</t>
  </si>
  <si>
    <t xml:space="preserve">Yellow cell</t>
  </si>
  <si>
    <t xml:space="preserve">The most important inputs.</t>
  </si>
  <si>
    <t xml:space="preserve">Black text</t>
  </si>
  <si>
    <t xml:space="preserve">Calculated for you. Leave these alone.</t>
  </si>
  <si>
    <t xml:space="preserve">GOOD TO KNOW</t>
  </si>
  <si>
    <t xml:space="preserve">The first line of Income and Expenses is an example. Type over it. This tracker helps you stay organized and is not tax advice; share it with your tax preparer.</t>
  </si>
  <si>
    <t xml:space="preserve">MADE BY</t>
  </si>
  <si>
    <t xml:space="preserve">Evelyn Romero, licensed esthetician, Lumevina Aesthetics. Questions? Message us on Etsy.</t>
  </si>
  <si>
    <t xml:space="preserve">Settings</t>
  </si>
  <si>
    <t xml:space="preserve">Set these once. The lists feed the drop-downs on the other tabs.</t>
  </si>
  <si>
    <t xml:space="preserve">YOUR BUSINESS</t>
  </si>
  <si>
    <t xml:space="preserve">Business name</t>
  </si>
  <si>
    <t xml:space="preserve">Your Studio Name</t>
  </si>
  <si>
    <t xml:space="preserve">Year</t>
  </si>
  <si>
    <t xml:space="preserve">Set aside for taxes</t>
  </si>
  <si>
    <t xml:space="preserve">Ask your tax preparer for your number.</t>
  </si>
  <si>
    <t xml:space="preserve">Card fee, percent</t>
  </si>
  <si>
    <t xml:space="preserve">Your processor's rate (Square, Stripe, etc.).</t>
  </si>
  <si>
    <t xml:space="preserve">Card fee, per charge</t>
  </si>
  <si>
    <t xml:space="preserve">INCOME CATEGORIES</t>
  </si>
  <si>
    <t xml:space="preserve">EXPENSE CATEGORIES</t>
  </si>
  <si>
    <t xml:space="preserve">WAYS TO PAY</t>
  </si>
  <si>
    <t xml:space="preserve">Facials</t>
  </si>
  <si>
    <t xml:space="preserve">Rent and utilities</t>
  </si>
  <si>
    <t xml:space="preserve">Card</t>
  </si>
  <si>
    <t xml:space="preserve">Peels and advanced</t>
  </si>
  <si>
    <t xml:space="preserve">Backbar supplies</t>
  </si>
  <si>
    <t xml:space="preserve">Cash</t>
  </si>
  <si>
    <t xml:space="preserve">Waxing</t>
  </si>
  <si>
    <t xml:space="preserve">Retail inventory</t>
  </si>
  <si>
    <t xml:space="preserve">Venmo or Zelle</t>
  </si>
  <si>
    <t xml:space="preserve">Lash and brow</t>
  </si>
  <si>
    <t xml:space="preserve">Equipment</t>
  </si>
  <si>
    <t xml:space="preserve">Gift card</t>
  </si>
  <si>
    <t xml:space="preserve">Memberships</t>
  </si>
  <si>
    <t xml:space="preserve">Insurance and licenses</t>
  </si>
  <si>
    <t xml:space="preserve">Other</t>
  </si>
  <si>
    <t xml:space="preserve">Products</t>
  </si>
  <si>
    <t xml:space="preserve">Software and booking</t>
  </si>
  <si>
    <t xml:space="preserve">Gift cards sold</t>
  </si>
  <si>
    <t xml:space="preserve">Marketing</t>
  </si>
  <si>
    <t xml:space="preserve">Other services</t>
  </si>
  <si>
    <t xml:space="preserve">Education</t>
  </si>
  <si>
    <t xml:space="preserve">Laundry and cleaning</t>
  </si>
  <si>
    <t xml:space="preserve">Bank fees</t>
  </si>
  <si>
    <t xml:space="preserve">Phone and internet</t>
  </si>
  <si>
    <t xml:space="preserve">Car and mileage</t>
  </si>
  <si>
    <t xml:space="preserve">Rename categories to fit your studio; keep the same number of rows so the totals stay linked.</t>
  </si>
  <si>
    <t xml:space="preserve">Income</t>
  </si>
  <si>
    <t xml:space="preserve">One line per sale. Tips and card fees are worked out for you.</t>
  </si>
  <si>
    <t xml:space="preserve">Example on the first line: replace it with your first sale. Blue columns are yours; black ones fill themselves in.</t>
  </si>
  <si>
    <t xml:space="preserve">DATE</t>
  </si>
  <si>
    <t xml:space="preserve">CLIENT</t>
  </si>
  <si>
    <t xml:space="preserve">WHAT</t>
  </si>
  <si>
    <t xml:space="preserve">CATEGORY</t>
  </si>
  <si>
    <t xml:space="preserve">AMOUNT</t>
  </si>
  <si>
    <t xml:space="preserve">TIP</t>
  </si>
  <si>
    <t xml:space="preserve">PAID BY</t>
  </si>
  <si>
    <t xml:space="preserve">CARD FEE</t>
  </si>
  <si>
    <t xml:space="preserve">YOU KEEP</t>
  </si>
  <si>
    <t xml:space="preserve">MONTH</t>
  </si>
  <si>
    <t xml:space="preserve">Maria G.</t>
  </si>
  <si>
    <t xml:space="preserve">Signature Facial</t>
  </si>
  <si>
    <t xml:space="preserve">Expenses</t>
  </si>
  <si>
    <t xml:space="preserve">Everything the business pays for. Keep the receipts: your tax preparer will ask.</t>
  </si>
  <si>
    <t xml:space="preserve">Example on the first line: replace it with your first expense.</t>
  </si>
  <si>
    <t xml:space="preserve">PAID TO</t>
  </si>
  <si>
    <t xml:space="preserve">RECEIPT SAVED</t>
  </si>
  <si>
    <t xml:space="preserve">Skin supply co.</t>
  </si>
  <si>
    <t xml:space="preserve">Cleanser and masks (backbar)</t>
  </si>
  <si>
    <t xml:space="preserve">Yes</t>
  </si>
  <si>
    <t xml:space="preserve">Your shelf: what each product earns, what's in stock and what to reorder.</t>
  </si>
  <si>
    <t xml:space="preserve">PRODUCT</t>
  </si>
  <si>
    <t xml:space="preserve">BRAND</t>
  </si>
  <si>
    <t xml:space="preserve">YOUR COST</t>
  </si>
  <si>
    <t xml:space="preserve">PRICE</t>
  </si>
  <si>
    <t xml:space="preserve">PROFIT EACH</t>
  </si>
  <si>
    <t xml:space="preserve">MARGIN</t>
  </si>
  <si>
    <t xml:space="preserve">IN STOCK</t>
  </si>
  <si>
    <t xml:space="preserve">REORDER AT</t>
  </si>
  <si>
    <t xml:space="preserve">REORDER?</t>
  </si>
  <si>
    <t xml:space="preserve">STOCK VALUE</t>
  </si>
  <si>
    <t xml:space="preserve">Gentle gel cleanser</t>
  </si>
  <si>
    <t xml:space="preserve">Your brand</t>
  </si>
  <si>
    <t xml:space="preserve">Total stock value</t>
  </si>
  <si>
    <t xml:space="preserve">Aim for a margin of 50% or more on retail. Under 40%, check your price or your supplier.</t>
  </si>
  <si>
    <t xml:space="preserve">Month by Month</t>
  </si>
  <si>
    <t xml:space="preserve">Filled in from your Income and Expenses tabs. Nothing to type here.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</si>
  <si>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</si>
  <si>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</si>
  <si>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</si>
  <si>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</si>
  <si>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</si>
  <si>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</si>
  <si>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</si>
  <si>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</si>
  <si>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</si>
  <si>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</si>
  <si>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</si>
  <si>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</si>
  <si>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</t>
  </si>
  <si>
    <t xml:space="preserve">INCOME</t>
  </si>
  <si>
    <t xml:space="preserve">Tips</t>
  </si>
  <si>
    <t xml:space="preserve">Total income</t>
  </si>
  <si>
    <t xml:space="preserve">EXPENSES</t>
  </si>
  <si>
    <t xml:space="preserve">Card fees</t>
  </si>
  <si>
    <t xml:space="preserve">Total expenses</t>
  </si>
  <si>
    <t xml:space="preserve">Profit</t>
  </si>
  <si>
    <t xml:space="preserve">Yours to keep</t>
  </si>
  <si>
    <t xml:space="preserve">Profit margin</t>
  </si>
  <si>
    <t xml:space="preserve">The Year at a Glance</t>
  </si>
  <si>
    <t xml:space="preserve">The numbers that matter, all in one place.</t>
  </si>
  <si>
    <t xml:space="preserve">THIS YEAR</t>
  </si>
  <si>
    <t xml:space="preserve">A cushion for income tax and self-employment tax.</t>
  </si>
  <si>
    <t xml:space="preserve">Average profit a month so far</t>
  </si>
  <si>
    <t xml:space="preserve">Best month</t>
  </si>
  <si>
    <t xml:space="preserve">Biggest income category</t>
  </si>
  <si>
    <t xml:space="preserve">Biggest expense category</t>
  </si>
  <si>
    <t xml:space="preserve">Retail stock on the shelf</t>
  </si>
  <si>
    <t xml:space="preserve">Not a tax return. Share this workbook with your tax preparer at year end.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</si>
</sst>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;\(0%\);\-"/>
    <numFmt numFmtId="167" formatCode="0.0%;\(0.0%\);\-"/>
    <numFmt numFmtId="168" formatCode="\$#,##0.00;&quot;($&quot;#,##0.00\);\-"/>
    <numFmt numFmtId="169" formatCode="mm/dd/yyyy"/>
    <numFmt numFmtId="170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A2326"/>
      <name val="Arial"/>
      <family val="0"/>
      <charset val="1"/>
    </font>
    <font>
      <i val="true"/>
      <sz val="10"/>
      <color rgb="FF7A6D72"/>
      <name val="Arial"/>
      <family val="0"/>
      <charset val="1"/>
    </font>
    <font>
      <b val="true"/>
      <sz val="9"/>
      <color rgb="FFA86B7E"/>
      <name val="Arial"/>
      <family val="0"/>
      <charset val="1"/>
    </font>
    <font>
      <b val="true"/>
      <sz val="10"/>
      <color rgb="FF2A2326"/>
      <name val="Arial"/>
      <family val="0"/>
      <charset val="1"/>
    </font>
    <font>
      <sz val="10"/>
      <color rgb="FF2A232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.5"/>
      <color rgb="FF7A6D7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A8"/>
        <bgColor rgb="FFFFFFCC"/>
      </patternFill>
    </fill>
    <fill>
      <patternFill patternType="solid">
        <fgColor rgb="FFF7EEF1"/>
        <bgColor rgb="FFE7DDE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DDE0"/>
      </bottom>
      <diagonal/>
    </border>
    <border diagonalUp="false" diagonalDown="false">
      <left/>
      <right/>
      <top style="thin">
        <color rgb="FFA86B7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EE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D72"/>
      <rgbColor rgb="FF9999FF"/>
      <rgbColor rgb="FF993366"/>
      <rgbColor rgb="FFFFFFCC"/>
      <rgbColor rgb="FFCCFFFF"/>
      <rgbColor rgb="FF660066"/>
      <rgbColor rgb="FFFF8080"/>
      <rgbColor rgb="FF0066CC"/>
      <rgbColor rgb="FFE7D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86B7E"/>
      <rgbColor rgb="FF003366"/>
      <rgbColor rgb="FF339966"/>
      <rgbColor rgb="FF003300"/>
      <rgbColor rgb="FF333300"/>
      <rgbColor rgb="FF993300"/>
      <rgbColor rgb="FF993366"/>
      <rgbColor rgb="FF333399"/>
      <rgbColor rgb="FF2A23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8" customFormat="false" ht="30" hidden="false" customHeight="true" outlineLevel="0" collapsed="false">
      <c r="A8" s="5" t="s">
        <v>9</v>
      </c>
      <c r="B8" s="6" t="s">
        <v>10</v>
      </c>
    </row>
    <row r="9" customFormat="false" ht="30" hidden="false" customHeight="true" outlineLevel="0" collapsed="false">
      <c r="A9" s="5" t="s">
        <v>11</v>
      </c>
      <c r="B9" s="6" t="s">
        <v>12</v>
      </c>
    </row>
    <row r="11" customFormat="false" ht="21.75" hidden="false" customHeight="true" outlineLevel="0" collapsed="false">
      <c r="A11" s="3" t="s">
        <v>13</v>
      </c>
      <c r="B11" s="4"/>
    </row>
    <row r="12" customFormat="false" ht="15" hidden="false" customHeight="false" outlineLevel="0" collapsed="false">
      <c r="A12" s="7" t="s">
        <v>14</v>
      </c>
      <c r="B12" s="8" t="s">
        <v>15</v>
      </c>
    </row>
    <row r="13" customFormat="false" ht="15" hidden="false" customHeight="false" outlineLevel="0" collapsed="false">
      <c r="A13" s="9" t="s">
        <v>16</v>
      </c>
      <c r="B13" s="8" t="s">
        <v>17</v>
      </c>
    </row>
    <row r="14" customFormat="false" ht="15" hidden="false" customHeight="false" outlineLevel="0" collapsed="false">
      <c r="A14" s="10" t="s">
        <v>18</v>
      </c>
      <c r="B14" s="8" t="s">
        <v>19</v>
      </c>
    </row>
    <row r="16" customFormat="false" ht="21.75" hidden="false" customHeight="true" outlineLevel="0" collapsed="false">
      <c r="A16" s="3" t="s">
        <v>20</v>
      </c>
      <c r="B16" s="4"/>
    </row>
    <row r="17" customFormat="false" ht="43.5" hidden="false" customHeight="true" outlineLevel="0" collapsed="false">
      <c r="A17" s="11" t="s">
        <v>21</v>
      </c>
      <c r="B17" s="11"/>
    </row>
    <row r="19" customFormat="false" ht="21.75" hidden="false" customHeight="true" outlineLevel="0" collapsed="false">
      <c r="A19" s="3" t="s">
        <v>22</v>
      </c>
      <c r="B19" s="4"/>
    </row>
    <row r="20" customFormat="false" ht="43.5" hidden="false" customHeight="true" outlineLevel="0" collapsed="false">
      <c r="A20" s="11" t="s">
        <v>23</v>
      </c>
      <c r="B20" s="11"/>
    </row>
  </sheetData>
  <mergeCells count="2">
    <mergeCell ref="A17:B17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8"/>
    <col collapsed="false" customWidth="true" hidden="false" outlineLevel="0" max="5" min="5" style="0" width="4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21.75" hidden="false" customHeight="true" outlineLevel="0" collapsed="false">
      <c r="A4" s="3" t="s">
        <v>26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12" t="s">
        <v>27</v>
      </c>
      <c r="B5" s="7" t="s">
        <v>28</v>
      </c>
    </row>
    <row r="6" customFormat="false" ht="15" hidden="false" customHeight="false" outlineLevel="0" collapsed="false">
      <c r="A6" s="12" t="s">
        <v>29</v>
      </c>
      <c r="B6" s="13" t="n">
        <v>2026</v>
      </c>
    </row>
    <row r="7" customFormat="false" ht="15" hidden="false" customHeight="false" outlineLevel="0" collapsed="false">
      <c r="A7" s="12" t="s">
        <v>30</v>
      </c>
      <c r="B7" s="14" t="n">
        <v>0.25</v>
      </c>
      <c r="D7" s="15" t="s">
        <v>31</v>
      </c>
    </row>
    <row r="8" customFormat="false" ht="15" hidden="false" customHeight="false" outlineLevel="0" collapsed="false">
      <c r="A8" s="12" t="s">
        <v>32</v>
      </c>
      <c r="B8" s="16" t="n">
        <v>0.029</v>
      </c>
      <c r="D8" s="15" t="s">
        <v>33</v>
      </c>
    </row>
    <row r="9" customFormat="false" ht="15" hidden="false" customHeight="false" outlineLevel="0" collapsed="false">
      <c r="A9" s="12" t="s">
        <v>34</v>
      </c>
      <c r="B9" s="17" t="n">
        <v>0.3</v>
      </c>
    </row>
    <row r="11" customFormat="false" ht="15" hidden="false" customHeight="false" outlineLevel="0" collapsed="false">
      <c r="A11" s="18" t="s">
        <v>35</v>
      </c>
      <c r="D11" s="18" t="s">
        <v>36</v>
      </c>
      <c r="F11" s="18" t="s">
        <v>37</v>
      </c>
    </row>
    <row r="12" customFormat="false" ht="15" hidden="false" customHeight="false" outlineLevel="0" collapsed="false">
      <c r="A12" s="7" t="s">
        <v>38</v>
      </c>
      <c r="D12" s="7" t="s">
        <v>39</v>
      </c>
      <c r="F12" s="7" t="s">
        <v>40</v>
      </c>
    </row>
    <row r="13" customFormat="false" ht="15" hidden="false" customHeight="false" outlineLevel="0" collapsed="false">
      <c r="A13" s="7" t="s">
        <v>41</v>
      </c>
      <c r="D13" s="7" t="s">
        <v>42</v>
      </c>
      <c r="F13" s="7" t="s">
        <v>43</v>
      </c>
    </row>
    <row r="14" customFormat="false" ht="15" hidden="false" customHeight="false" outlineLevel="0" collapsed="false">
      <c r="A14" s="7" t="s">
        <v>44</v>
      </c>
      <c r="D14" s="7" t="s">
        <v>45</v>
      </c>
      <c r="F14" s="7" t="s">
        <v>46</v>
      </c>
    </row>
    <row r="15" customFormat="false" ht="15" hidden="false" customHeight="false" outlineLevel="0" collapsed="false">
      <c r="A15" s="7" t="s">
        <v>47</v>
      </c>
      <c r="D15" s="7" t="s">
        <v>48</v>
      </c>
      <c r="F15" s="7" t="s">
        <v>49</v>
      </c>
    </row>
    <row r="16" customFormat="false" ht="15" hidden="false" customHeight="false" outlineLevel="0" collapsed="false">
      <c r="A16" s="7" t="s">
        <v>50</v>
      </c>
      <c r="D16" s="7" t="s">
        <v>51</v>
      </c>
      <c r="F16" s="7" t="s">
        <v>52</v>
      </c>
    </row>
    <row r="17" customFormat="false" ht="15" hidden="false" customHeight="false" outlineLevel="0" collapsed="false">
      <c r="A17" s="7" t="s">
        <v>53</v>
      </c>
      <c r="D17" s="7" t="s">
        <v>54</v>
      </c>
    </row>
    <row r="18" customFormat="false" ht="15" hidden="false" customHeight="false" outlineLevel="0" collapsed="false">
      <c r="A18" s="7" t="s">
        <v>55</v>
      </c>
      <c r="D18" s="7" t="s">
        <v>56</v>
      </c>
    </row>
    <row r="19" customFormat="false" ht="15" hidden="false" customHeight="false" outlineLevel="0" collapsed="false">
      <c r="A19" s="7" t="s">
        <v>57</v>
      </c>
      <c r="D19" s="7" t="s">
        <v>58</v>
      </c>
    </row>
    <row r="20" customFormat="false" ht="15" hidden="false" customHeight="false" outlineLevel="0" collapsed="false">
      <c r="D20" s="7" t="s">
        <v>59</v>
      </c>
    </row>
    <row r="21" customFormat="false" ht="15" hidden="false" customHeight="false" outlineLevel="0" collapsed="false">
      <c r="D21" s="7" t="s">
        <v>60</v>
      </c>
    </row>
    <row r="22" customFormat="false" ht="15" hidden="false" customHeight="false" outlineLevel="0" collapsed="false">
      <c r="D22" s="7" t="s">
        <v>61</v>
      </c>
    </row>
    <row r="23" customFormat="false" ht="15" hidden="false" customHeight="false" outlineLevel="0" collapsed="false">
      <c r="D23" s="7" t="s">
        <v>62</v>
      </c>
    </row>
    <row r="24" customFormat="false" ht="15" hidden="false" customHeight="false" outlineLevel="0" collapsed="false">
      <c r="D24" s="7" t="s">
        <v>52</v>
      </c>
    </row>
    <row r="26" customFormat="false" ht="15" hidden="false" customHeight="false" outlineLevel="0" collapsed="false">
      <c r="A26" s="1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J6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8"/>
  </cols>
  <sheetData>
    <row r="1" customFormat="false" ht="25.5" hidden="false" customHeight="tru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3" customFormat="false" ht="15" hidden="false" customHeight="false" outlineLevel="0" collapsed="false">
      <c r="A3" s="15" t="s">
        <v>66</v>
      </c>
    </row>
    <row r="5" customFormat="false" ht="15" hidden="false" customHeight="false" outlineLevel="0" collapsed="false">
      <c r="A5" s="3" t="s">
        <v>67</v>
      </c>
      <c r="B5" s="3" t="s">
        <v>68</v>
      </c>
      <c r="C5" s="3" t="s">
        <v>69</v>
      </c>
      <c r="D5" s="3" t="s">
        <v>70</v>
      </c>
      <c r="E5" s="3" t="s">
        <v>71</v>
      </c>
      <c r="F5" s="3" t="s">
        <v>72</v>
      </c>
      <c r="G5" s="3" t="s">
        <v>73</v>
      </c>
      <c r="H5" s="3" t="s">
        <v>74</v>
      </c>
      <c r="I5" s="3" t="s">
        <v>75</v>
      </c>
      <c r="J5" s="3" t="s">
        <v>76</v>
      </c>
    </row>
    <row r="6" customFormat="false" ht="15" hidden="false" customHeight="false" outlineLevel="0" collapsed="false">
      <c r="A6" s="19" t="n">
        <v>46028</v>
      </c>
      <c r="B6" s="7" t="s">
        <v>77</v>
      </c>
      <c r="C6" s="7" t="s">
        <v>78</v>
      </c>
      <c r="D6" s="7" t="s">
        <v>38</v>
      </c>
      <c r="E6" s="17" t="n">
        <v>125</v>
      </c>
      <c r="F6" s="17" t="n">
        <v>20</v>
      </c>
      <c r="G6" s="7" t="s">
        <v>40</v>
      </c>
      <c r="H6" s="20" t="n">
        <f aca="false">IF(G6="Card",ROUND((E6+F6)*Settings!$B$8+Settings!$B$9,2),0)</f>
        <v>4.51</v>
      </c>
      <c r="I6" s="20" t="n">
        <f aca="false">IF(A6="","",E6+F6-H6)</f>
        <v>140.49</v>
      </c>
      <c r="J6" s="21" t="n">
        <f aca="false">IF(A6="","",MONTH(A6))</f>
        <v>1</v>
      </c>
    </row>
    <row r="7" customFormat="false" ht="15" hidden="false" customHeight="false" outlineLevel="0" collapsed="false">
      <c r="A7" s="19"/>
      <c r="B7" s="7"/>
      <c r="C7" s="7"/>
      <c r="D7" s="7"/>
      <c r="E7" s="17"/>
      <c r="F7" s="17"/>
      <c r="G7" s="7"/>
      <c r="H7" s="20" t="n">
        <f aca="false">IF(G7="Card",ROUND((E7+F7)*Settings!$B$8+Settings!$B$9,2),0)</f>
        <v>0</v>
      </c>
      <c r="I7" s="20" t="str">
        <f aca="false">IF(A7="","",E7+F7-H7)</f>
        <v/>
      </c>
      <c r="J7" s="21" t="str">
        <f aca="false">IF(A7="","",MONTH(A7))</f>
        <v/>
      </c>
    </row>
    <row r="8" customFormat="false" ht="15" hidden="false" customHeight="false" outlineLevel="0" collapsed="false">
      <c r="A8" s="19"/>
      <c r="B8" s="7"/>
      <c r="C8" s="7"/>
      <c r="D8" s="7"/>
      <c r="E8" s="17"/>
      <c r="F8" s="17"/>
      <c r="G8" s="7"/>
      <c r="H8" s="20" t="n">
        <f aca="false">IF(G8="Card",ROUND((E8+F8)*Settings!$B$8+Settings!$B$9,2),0)</f>
        <v>0</v>
      </c>
      <c r="I8" s="20" t="str">
        <f aca="false">IF(A8="","",E8+F8-H8)</f>
        <v/>
      </c>
      <c r="J8" s="21" t="str">
        <f aca="false">IF(A8="","",MONTH(A8))</f>
        <v/>
      </c>
    </row>
    <row r="9" customFormat="false" ht="15" hidden="false" customHeight="false" outlineLevel="0" collapsed="false">
      <c r="A9" s="19"/>
      <c r="B9" s="7"/>
      <c r="C9" s="7"/>
      <c r="D9" s="7"/>
      <c r="E9" s="17"/>
      <c r="F9" s="17"/>
      <c r="G9" s="7"/>
      <c r="H9" s="20" t="n">
        <f aca="false">IF(G9="Card",ROUND((E9+F9)*Settings!$B$8+Settings!$B$9,2),0)</f>
        <v>0</v>
      </c>
      <c r="I9" s="20" t="str">
        <f aca="false">IF(A9="","",E9+F9-H9)</f>
        <v/>
      </c>
      <c r="J9" s="21" t="str">
        <f aca="false">IF(A9="","",MONTH(A9))</f>
        <v/>
      </c>
    </row>
    <row r="10" customFormat="false" ht="15" hidden="false" customHeight="false" outlineLevel="0" collapsed="false">
      <c r="A10" s="19"/>
      <c r="B10" s="7"/>
      <c r="C10" s="7"/>
      <c r="D10" s="7"/>
      <c r="E10" s="17"/>
      <c r="F10" s="17"/>
      <c r="G10" s="7"/>
      <c r="H10" s="20" t="n">
        <f aca="false">IF(G10="Card",ROUND((E10+F10)*Settings!$B$8+Settings!$B$9,2),0)</f>
        <v>0</v>
      </c>
      <c r="I10" s="20" t="str">
        <f aca="false">IF(A10="","",E10+F10-H10)</f>
        <v/>
      </c>
      <c r="J10" s="21" t="str">
        <f aca="false">IF(A10="","",MONTH(A10))</f>
        <v/>
      </c>
    </row>
    <row r="11" customFormat="false" ht="15" hidden="false" customHeight="false" outlineLevel="0" collapsed="false">
      <c r="A11" s="19"/>
      <c r="B11" s="7"/>
      <c r="C11" s="7"/>
      <c r="D11" s="7"/>
      <c r="E11" s="17"/>
      <c r="F11" s="17"/>
      <c r="G11" s="7"/>
      <c r="H11" s="20" t="n">
        <f aca="false">IF(G11="Card",ROUND((E11+F11)*Settings!$B$8+Settings!$B$9,2),0)</f>
        <v>0</v>
      </c>
      <c r="I11" s="20" t="str">
        <f aca="false">IF(A11="","",E11+F11-H11)</f>
        <v/>
      </c>
      <c r="J11" s="21" t="str">
        <f aca="false">IF(A11="","",MONTH(A11))</f>
        <v/>
      </c>
    </row>
    <row r="12" customFormat="false" ht="15" hidden="false" customHeight="false" outlineLevel="0" collapsed="false">
      <c r="A12" s="19"/>
      <c r="B12" s="7"/>
      <c r="C12" s="7"/>
      <c r="D12" s="7"/>
      <c r="E12" s="17"/>
      <c r="F12" s="17"/>
      <c r="G12" s="7"/>
      <c r="H12" s="20" t="n">
        <f aca="false">IF(G12="Card",ROUND((E12+F12)*Settings!$B$8+Settings!$B$9,2),0)</f>
        <v>0</v>
      </c>
      <c r="I12" s="20" t="str">
        <f aca="false">IF(A12="","",E12+F12-H12)</f>
        <v/>
      </c>
      <c r="J12" s="21" t="str">
        <f aca="false">IF(A12="","",MONTH(A12))</f>
        <v/>
      </c>
    </row>
    <row r="13" customFormat="false" ht="15" hidden="false" customHeight="false" outlineLevel="0" collapsed="false">
      <c r="A13" s="19"/>
      <c r="B13" s="7"/>
      <c r="C13" s="7"/>
      <c r="D13" s="7"/>
      <c r="E13" s="17"/>
      <c r="F13" s="17"/>
      <c r="G13" s="7"/>
      <c r="H13" s="20" t="n">
        <f aca="false">IF(G13="Card",ROUND((E13+F13)*Settings!$B$8+Settings!$B$9,2),0)</f>
        <v>0</v>
      </c>
      <c r="I13" s="20" t="str">
        <f aca="false">IF(A13="","",E13+F13-H13)</f>
        <v/>
      </c>
      <c r="J13" s="21" t="str">
        <f aca="false">IF(A13="","",MONTH(A13))</f>
        <v/>
      </c>
    </row>
    <row r="14" customFormat="false" ht="15" hidden="false" customHeight="false" outlineLevel="0" collapsed="false">
      <c r="A14" s="19"/>
      <c r="B14" s="7"/>
      <c r="C14" s="7"/>
      <c r="D14" s="7"/>
      <c r="E14" s="17"/>
      <c r="F14" s="17"/>
      <c r="G14" s="7"/>
      <c r="H14" s="20" t="n">
        <f aca="false">IF(G14="Card",ROUND((E14+F14)*Settings!$B$8+Settings!$B$9,2),0)</f>
        <v>0</v>
      </c>
      <c r="I14" s="20" t="str">
        <f aca="false">IF(A14="","",E14+F14-H14)</f>
        <v/>
      </c>
      <c r="J14" s="21" t="str">
        <f aca="false">IF(A14="","",MONTH(A14))</f>
        <v/>
      </c>
    </row>
    <row r="15" customFormat="false" ht="15" hidden="false" customHeight="false" outlineLevel="0" collapsed="false">
      <c r="A15" s="19"/>
      <c r="B15" s="7"/>
      <c r="C15" s="7"/>
      <c r="D15" s="7"/>
      <c r="E15" s="17"/>
      <c r="F15" s="17"/>
      <c r="G15" s="7"/>
      <c r="H15" s="20" t="n">
        <f aca="false">IF(G15="Card",ROUND((E15+F15)*Settings!$B$8+Settings!$B$9,2),0)</f>
        <v>0</v>
      </c>
      <c r="I15" s="20" t="str">
        <f aca="false">IF(A15="","",E15+F15-H15)</f>
        <v/>
      </c>
      <c r="J15" s="21" t="str">
        <f aca="false">IF(A15="","",MONTH(A15))</f>
        <v/>
      </c>
    </row>
    <row r="16" customFormat="false" ht="15" hidden="false" customHeight="false" outlineLevel="0" collapsed="false">
      <c r="A16" s="19"/>
      <c r="B16" s="7"/>
      <c r="C16" s="7"/>
      <c r="D16" s="7"/>
      <c r="E16" s="17"/>
      <c r="F16" s="17"/>
      <c r="G16" s="7"/>
      <c r="H16" s="20" t="n">
        <f aca="false">IF(G16="Card",ROUND((E16+F16)*Settings!$B$8+Settings!$B$9,2),0)</f>
        <v>0</v>
      </c>
      <c r="I16" s="20" t="str">
        <f aca="false">IF(A16="","",E16+F16-H16)</f>
        <v/>
      </c>
      <c r="J16" s="21" t="str">
        <f aca="false">IF(A16="","",MONTH(A16))</f>
        <v/>
      </c>
    </row>
    <row r="17" customFormat="false" ht="15" hidden="false" customHeight="false" outlineLevel="0" collapsed="false">
      <c r="A17" s="19"/>
      <c r="B17" s="7"/>
      <c r="C17" s="7"/>
      <c r="D17" s="7"/>
      <c r="E17" s="17"/>
      <c r="F17" s="17"/>
      <c r="G17" s="7"/>
      <c r="H17" s="20" t="n">
        <f aca="false">IF(G17="Card",ROUND((E17+F17)*Settings!$B$8+Settings!$B$9,2),0)</f>
        <v>0</v>
      </c>
      <c r="I17" s="20" t="str">
        <f aca="false">IF(A17="","",E17+F17-H17)</f>
        <v/>
      </c>
      <c r="J17" s="21" t="str">
        <f aca="false">IF(A17="","",MONTH(A17))</f>
        <v/>
      </c>
    </row>
    <row r="18" customFormat="false" ht="15" hidden="false" customHeight="false" outlineLevel="0" collapsed="false">
      <c r="A18" s="19"/>
      <c r="B18" s="7"/>
      <c r="C18" s="7"/>
      <c r="D18" s="7"/>
      <c r="E18" s="17"/>
      <c r="F18" s="17"/>
      <c r="G18" s="7"/>
      <c r="H18" s="20" t="n">
        <f aca="false">IF(G18="Card",ROUND((E18+F18)*Settings!$B$8+Settings!$B$9,2),0)</f>
        <v>0</v>
      </c>
      <c r="I18" s="20" t="str">
        <f aca="false">IF(A18="","",E18+F18-H18)</f>
        <v/>
      </c>
      <c r="J18" s="21" t="str">
        <f aca="false">IF(A18="","",MONTH(A18))</f>
        <v/>
      </c>
    </row>
    <row r="19" customFormat="false" ht="15" hidden="false" customHeight="false" outlineLevel="0" collapsed="false">
      <c r="A19" s="19"/>
      <c r="B19" s="7"/>
      <c r="C19" s="7"/>
      <c r="D19" s="7"/>
      <c r="E19" s="17"/>
      <c r="F19" s="17"/>
      <c r="G19" s="7"/>
      <c r="H19" s="20" t="n">
        <f aca="false">IF(G19="Card",ROUND((E19+F19)*Settings!$B$8+Settings!$B$9,2),0)</f>
        <v>0</v>
      </c>
      <c r="I19" s="20" t="str">
        <f aca="false">IF(A19="","",E19+F19-H19)</f>
        <v/>
      </c>
      <c r="J19" s="21" t="str">
        <f aca="false">IF(A19="","",MONTH(A19))</f>
        <v/>
      </c>
    </row>
    <row r="20" customFormat="false" ht="15" hidden="false" customHeight="false" outlineLevel="0" collapsed="false">
      <c r="A20" s="19"/>
      <c r="B20" s="7"/>
      <c r="C20" s="7"/>
      <c r="D20" s="7"/>
      <c r="E20" s="17"/>
      <c r="F20" s="17"/>
      <c r="G20" s="7"/>
      <c r="H20" s="20" t="n">
        <f aca="false">IF(G20="Card",ROUND((E20+F20)*Settings!$B$8+Settings!$B$9,2),0)</f>
        <v>0</v>
      </c>
      <c r="I20" s="20" t="str">
        <f aca="false">IF(A20="","",E20+F20-H20)</f>
        <v/>
      </c>
      <c r="J20" s="21" t="str">
        <f aca="false">IF(A20="","",MONTH(A20))</f>
        <v/>
      </c>
    </row>
    <row r="21" customFormat="false" ht="15" hidden="false" customHeight="false" outlineLevel="0" collapsed="false">
      <c r="A21" s="19"/>
      <c r="B21" s="7"/>
      <c r="C21" s="7"/>
      <c r="D21" s="7"/>
      <c r="E21" s="17"/>
      <c r="F21" s="17"/>
      <c r="G21" s="7"/>
      <c r="H21" s="20" t="n">
        <f aca="false">IF(G21="Card",ROUND((E21+F21)*Settings!$B$8+Settings!$B$9,2),0)</f>
        <v>0</v>
      </c>
      <c r="I21" s="20" t="str">
        <f aca="false">IF(A21="","",E21+F21-H21)</f>
        <v/>
      </c>
      <c r="J21" s="21" t="str">
        <f aca="false">IF(A21="","",MONTH(A21))</f>
        <v/>
      </c>
    </row>
    <row r="22" customFormat="false" ht="15" hidden="false" customHeight="false" outlineLevel="0" collapsed="false">
      <c r="A22" s="19"/>
      <c r="B22" s="7"/>
      <c r="C22" s="7"/>
      <c r="D22" s="7"/>
      <c r="E22" s="17"/>
      <c r="F22" s="17"/>
      <c r="G22" s="7"/>
      <c r="H22" s="20" t="n">
        <f aca="false">IF(G22="Card",ROUND((E22+F22)*Settings!$B$8+Settings!$B$9,2),0)</f>
        <v>0</v>
      </c>
      <c r="I22" s="20" t="str">
        <f aca="false">IF(A22="","",E22+F22-H22)</f>
        <v/>
      </c>
      <c r="J22" s="21" t="str">
        <f aca="false">IF(A22="","",MONTH(A22))</f>
        <v/>
      </c>
    </row>
    <row r="23" customFormat="false" ht="15" hidden="false" customHeight="false" outlineLevel="0" collapsed="false">
      <c r="A23" s="19"/>
      <c r="B23" s="7"/>
      <c r="C23" s="7"/>
      <c r="D23" s="7"/>
      <c r="E23" s="17"/>
      <c r="F23" s="17"/>
      <c r="G23" s="7"/>
      <c r="H23" s="20" t="n">
        <f aca="false">IF(G23="Card",ROUND((E23+F23)*Settings!$B$8+Settings!$B$9,2),0)</f>
        <v>0</v>
      </c>
      <c r="I23" s="20" t="str">
        <f aca="false">IF(A23="","",E23+F23-H23)</f>
        <v/>
      </c>
      <c r="J23" s="21" t="str">
        <f aca="false">IF(A23="","",MONTH(A23))</f>
        <v/>
      </c>
    </row>
    <row r="24" customFormat="false" ht="15" hidden="false" customHeight="false" outlineLevel="0" collapsed="false">
      <c r="A24" s="19"/>
      <c r="B24" s="7"/>
      <c r="C24" s="7"/>
      <c r="D24" s="7"/>
      <c r="E24" s="17"/>
      <c r="F24" s="17"/>
      <c r="G24" s="7"/>
      <c r="H24" s="20" t="n">
        <f aca="false">IF(G24="Card",ROUND((E24+F24)*Settings!$B$8+Settings!$B$9,2),0)</f>
        <v>0</v>
      </c>
      <c r="I24" s="20" t="str">
        <f aca="false">IF(A24="","",E24+F24-H24)</f>
        <v/>
      </c>
      <c r="J24" s="21" t="str">
        <f aca="false">IF(A24="","",MONTH(A24))</f>
        <v/>
      </c>
    </row>
    <row r="25" customFormat="false" ht="15" hidden="false" customHeight="false" outlineLevel="0" collapsed="false">
      <c r="A25" s="19"/>
      <c r="B25" s="7"/>
      <c r="C25" s="7"/>
      <c r="D25" s="7"/>
      <c r="E25" s="17"/>
      <c r="F25" s="17"/>
      <c r="G25" s="7"/>
      <c r="H25" s="20" t="n">
        <f aca="false">IF(G25="Card",ROUND((E25+F25)*Settings!$B$8+Settings!$B$9,2),0)</f>
        <v>0</v>
      </c>
      <c r="I25" s="20" t="str">
        <f aca="false">IF(A25="","",E25+F25-H25)</f>
        <v/>
      </c>
      <c r="J25" s="21" t="str">
        <f aca="false">IF(A25="","",MONTH(A25))</f>
        <v/>
      </c>
    </row>
    <row r="26" customFormat="false" ht="15" hidden="false" customHeight="false" outlineLevel="0" collapsed="false">
      <c r="A26" s="19"/>
      <c r="B26" s="7"/>
      <c r="C26" s="7"/>
      <c r="D26" s="7"/>
      <c r="E26" s="17"/>
      <c r="F26" s="17"/>
      <c r="G26" s="7"/>
      <c r="H26" s="20" t="n">
        <f aca="false">IF(G26="Card",ROUND((E26+F26)*Settings!$B$8+Settings!$B$9,2),0)</f>
        <v>0</v>
      </c>
      <c r="I26" s="20" t="str">
        <f aca="false">IF(A26="","",E26+F26-H26)</f>
        <v/>
      </c>
      <c r="J26" s="21" t="str">
        <f aca="false">IF(A26="","",MONTH(A26))</f>
        <v/>
      </c>
    </row>
    <row r="27" customFormat="false" ht="15" hidden="false" customHeight="false" outlineLevel="0" collapsed="false">
      <c r="A27" s="19"/>
      <c r="B27" s="7"/>
      <c r="C27" s="7"/>
      <c r="D27" s="7"/>
      <c r="E27" s="17"/>
      <c r="F27" s="17"/>
      <c r="G27" s="7"/>
      <c r="H27" s="20" t="n">
        <f aca="false">IF(G27="Card",ROUND((E27+F27)*Settings!$B$8+Settings!$B$9,2),0)</f>
        <v>0</v>
      </c>
      <c r="I27" s="20" t="str">
        <f aca="false">IF(A27="","",E27+F27-H27)</f>
        <v/>
      </c>
      <c r="J27" s="21" t="str">
        <f aca="false">IF(A27="","",MONTH(A27))</f>
        <v/>
      </c>
    </row>
    <row r="28" customFormat="false" ht="15" hidden="false" customHeight="false" outlineLevel="0" collapsed="false">
      <c r="A28" s="19"/>
      <c r="B28" s="7"/>
      <c r="C28" s="7"/>
      <c r="D28" s="7"/>
      <c r="E28" s="17"/>
      <c r="F28" s="17"/>
      <c r="G28" s="7"/>
      <c r="H28" s="20" t="n">
        <f aca="false">IF(G28="Card",ROUND((E28+F28)*Settings!$B$8+Settings!$B$9,2),0)</f>
        <v>0</v>
      </c>
      <c r="I28" s="20" t="str">
        <f aca="false">IF(A28="","",E28+F28-H28)</f>
        <v/>
      </c>
      <c r="J28" s="21" t="str">
        <f aca="false">IF(A28="","",MONTH(A28))</f>
        <v/>
      </c>
    </row>
    <row r="29" customFormat="false" ht="15" hidden="false" customHeight="false" outlineLevel="0" collapsed="false">
      <c r="A29" s="19"/>
      <c r="B29" s="7"/>
      <c r="C29" s="7"/>
      <c r="D29" s="7"/>
      <c r="E29" s="17"/>
      <c r="F29" s="17"/>
      <c r="G29" s="7"/>
      <c r="H29" s="20" t="n">
        <f aca="false">IF(G29="Card",ROUND((E29+F29)*Settings!$B$8+Settings!$B$9,2),0)</f>
        <v>0</v>
      </c>
      <c r="I29" s="20" t="str">
        <f aca="false">IF(A29="","",E29+F29-H29)</f>
        <v/>
      </c>
      <c r="J29" s="21" t="str">
        <f aca="false">IF(A29="","",MONTH(A29))</f>
        <v/>
      </c>
    </row>
    <row r="30" customFormat="false" ht="15" hidden="false" customHeight="false" outlineLevel="0" collapsed="false">
      <c r="A30" s="19"/>
      <c r="B30" s="7"/>
      <c r="C30" s="7"/>
      <c r="D30" s="7"/>
      <c r="E30" s="17"/>
      <c r="F30" s="17"/>
      <c r="G30" s="7"/>
      <c r="H30" s="20" t="n">
        <f aca="false">IF(G30="Card",ROUND((E30+F30)*Settings!$B$8+Settings!$B$9,2),0)</f>
        <v>0</v>
      </c>
      <c r="I30" s="20" t="str">
        <f aca="false">IF(A30="","",E30+F30-H30)</f>
        <v/>
      </c>
      <c r="J30" s="21" t="str">
        <f aca="false">IF(A30="","",MONTH(A30))</f>
        <v/>
      </c>
    </row>
    <row r="31" customFormat="false" ht="15" hidden="false" customHeight="false" outlineLevel="0" collapsed="false">
      <c r="A31" s="19"/>
      <c r="B31" s="7"/>
      <c r="C31" s="7"/>
      <c r="D31" s="7"/>
      <c r="E31" s="17"/>
      <c r="F31" s="17"/>
      <c r="G31" s="7"/>
      <c r="H31" s="20" t="n">
        <f aca="false">IF(G31="Card",ROUND((E31+F31)*Settings!$B$8+Settings!$B$9,2),0)</f>
        <v>0</v>
      </c>
      <c r="I31" s="20" t="str">
        <f aca="false">IF(A31="","",E31+F31-H31)</f>
        <v/>
      </c>
      <c r="J31" s="21" t="str">
        <f aca="false">IF(A31="","",MONTH(A31))</f>
        <v/>
      </c>
    </row>
    <row r="32" customFormat="false" ht="15" hidden="false" customHeight="false" outlineLevel="0" collapsed="false">
      <c r="A32" s="19"/>
      <c r="B32" s="7"/>
      <c r="C32" s="7"/>
      <c r="D32" s="7"/>
      <c r="E32" s="17"/>
      <c r="F32" s="17"/>
      <c r="G32" s="7"/>
      <c r="H32" s="20" t="n">
        <f aca="false">IF(G32="Card",ROUND((E32+F32)*Settings!$B$8+Settings!$B$9,2),0)</f>
        <v>0</v>
      </c>
      <c r="I32" s="20" t="str">
        <f aca="false">IF(A32="","",E32+F32-H32)</f>
        <v/>
      </c>
      <c r="J32" s="21" t="str">
        <f aca="false">IF(A32="","",MONTH(A32))</f>
        <v/>
      </c>
    </row>
    <row r="33" customFormat="false" ht="15" hidden="false" customHeight="false" outlineLevel="0" collapsed="false">
      <c r="A33" s="19"/>
      <c r="B33" s="7"/>
      <c r="C33" s="7"/>
      <c r="D33" s="7"/>
      <c r="E33" s="17"/>
      <c r="F33" s="17"/>
      <c r="G33" s="7"/>
      <c r="H33" s="20" t="n">
        <f aca="false">IF(G33="Card",ROUND((E33+F33)*Settings!$B$8+Settings!$B$9,2),0)</f>
        <v>0</v>
      </c>
      <c r="I33" s="20" t="str">
        <f aca="false">IF(A33="","",E33+F33-H33)</f>
        <v/>
      </c>
      <c r="J33" s="21" t="str">
        <f aca="false">IF(A33="","",MONTH(A33))</f>
        <v/>
      </c>
    </row>
    <row r="34" customFormat="false" ht="15" hidden="false" customHeight="false" outlineLevel="0" collapsed="false">
      <c r="A34" s="19"/>
      <c r="B34" s="7"/>
      <c r="C34" s="7"/>
      <c r="D34" s="7"/>
      <c r="E34" s="17"/>
      <c r="F34" s="17"/>
      <c r="G34" s="7"/>
      <c r="H34" s="20" t="n">
        <f aca="false">IF(G34="Card",ROUND((E34+F34)*Settings!$B$8+Settings!$B$9,2),0)</f>
        <v>0</v>
      </c>
      <c r="I34" s="20" t="str">
        <f aca="false">IF(A34="","",E34+F34-H34)</f>
        <v/>
      </c>
      <c r="J34" s="21" t="str">
        <f aca="false">IF(A34="","",MONTH(A34))</f>
        <v/>
      </c>
    </row>
    <row r="35" customFormat="false" ht="15" hidden="false" customHeight="false" outlineLevel="0" collapsed="false">
      <c r="A35" s="19"/>
      <c r="B35" s="7"/>
      <c r="C35" s="7"/>
      <c r="D35" s="7"/>
      <c r="E35" s="17"/>
      <c r="F35" s="17"/>
      <c r="G35" s="7"/>
      <c r="H35" s="20" t="n">
        <f aca="false">IF(G35="Card",ROUND((E35+F35)*Settings!$B$8+Settings!$B$9,2),0)</f>
        <v>0</v>
      </c>
      <c r="I35" s="20" t="str">
        <f aca="false">IF(A35="","",E35+F35-H35)</f>
        <v/>
      </c>
      <c r="J35" s="21" t="str">
        <f aca="false">IF(A35="","",MONTH(A35))</f>
        <v/>
      </c>
    </row>
    <row r="36" customFormat="false" ht="15" hidden="false" customHeight="false" outlineLevel="0" collapsed="false">
      <c r="A36" s="19"/>
      <c r="B36" s="7"/>
      <c r="C36" s="7"/>
      <c r="D36" s="7"/>
      <c r="E36" s="17"/>
      <c r="F36" s="17"/>
      <c r="G36" s="7"/>
      <c r="H36" s="20" t="n">
        <f aca="false">IF(G36="Card",ROUND((E36+F36)*Settings!$B$8+Settings!$B$9,2),0)</f>
        <v>0</v>
      </c>
      <c r="I36" s="20" t="str">
        <f aca="false">IF(A36="","",E36+F36-H36)</f>
        <v/>
      </c>
      <c r="J36" s="21" t="str">
        <f aca="false">IF(A36="","",MONTH(A36))</f>
        <v/>
      </c>
    </row>
    <row r="37" customFormat="false" ht="15" hidden="false" customHeight="false" outlineLevel="0" collapsed="false">
      <c r="A37" s="19"/>
      <c r="B37" s="7"/>
      <c r="C37" s="7"/>
      <c r="D37" s="7"/>
      <c r="E37" s="17"/>
      <c r="F37" s="17"/>
      <c r="G37" s="7"/>
      <c r="H37" s="20" t="n">
        <f aca="false">IF(G37="Card",ROUND((E37+F37)*Settings!$B$8+Settings!$B$9,2),0)</f>
        <v>0</v>
      </c>
      <c r="I37" s="20" t="str">
        <f aca="false">IF(A37="","",E37+F37-H37)</f>
        <v/>
      </c>
      <c r="J37" s="21" t="str">
        <f aca="false">IF(A37="","",MONTH(A37))</f>
        <v/>
      </c>
    </row>
    <row r="38" customFormat="false" ht="15" hidden="false" customHeight="false" outlineLevel="0" collapsed="false">
      <c r="A38" s="19"/>
      <c r="B38" s="7"/>
      <c r="C38" s="7"/>
      <c r="D38" s="7"/>
      <c r="E38" s="17"/>
      <c r="F38" s="17"/>
      <c r="G38" s="7"/>
      <c r="H38" s="20" t="n">
        <f aca="false">IF(G38="Card",ROUND((E38+F38)*Settings!$B$8+Settings!$B$9,2),0)</f>
        <v>0</v>
      </c>
      <c r="I38" s="20" t="str">
        <f aca="false">IF(A38="","",E38+F38-H38)</f>
        <v/>
      </c>
      <c r="J38" s="21" t="str">
        <f aca="false">IF(A38="","",MONTH(A38))</f>
        <v/>
      </c>
    </row>
    <row r="39" customFormat="false" ht="15" hidden="false" customHeight="false" outlineLevel="0" collapsed="false">
      <c r="A39" s="19"/>
      <c r="B39" s="7"/>
      <c r="C39" s="7"/>
      <c r="D39" s="7"/>
      <c r="E39" s="17"/>
      <c r="F39" s="17"/>
      <c r="G39" s="7"/>
      <c r="H39" s="20" t="n">
        <f aca="false">IF(G39="Card",ROUND((E39+F39)*Settings!$B$8+Settings!$B$9,2),0)</f>
        <v>0</v>
      </c>
      <c r="I39" s="20" t="str">
        <f aca="false">IF(A39="","",E39+F39-H39)</f>
        <v/>
      </c>
      <c r="J39" s="21" t="str">
        <f aca="false">IF(A39="","",MONTH(A39))</f>
        <v/>
      </c>
    </row>
    <row r="40" customFormat="false" ht="15" hidden="false" customHeight="false" outlineLevel="0" collapsed="false">
      <c r="A40" s="19"/>
      <c r="B40" s="7"/>
      <c r="C40" s="7"/>
      <c r="D40" s="7"/>
      <c r="E40" s="17"/>
      <c r="F40" s="17"/>
      <c r="G40" s="7"/>
      <c r="H40" s="20" t="n">
        <f aca="false">IF(G40="Card",ROUND((E40+F40)*Settings!$B$8+Settings!$B$9,2),0)</f>
        <v>0</v>
      </c>
      <c r="I40" s="20" t="str">
        <f aca="false">IF(A40="","",E40+F40-H40)</f>
        <v/>
      </c>
      <c r="J40" s="21" t="str">
        <f aca="false">IF(A40="","",MONTH(A40))</f>
        <v/>
      </c>
    </row>
    <row r="41" customFormat="false" ht="15" hidden="false" customHeight="false" outlineLevel="0" collapsed="false">
      <c r="A41" s="19"/>
      <c r="B41" s="7"/>
      <c r="C41" s="7"/>
      <c r="D41" s="7"/>
      <c r="E41" s="17"/>
      <c r="F41" s="17"/>
      <c r="G41" s="7"/>
      <c r="H41" s="20" t="n">
        <f aca="false">IF(G41="Card",ROUND((E41+F41)*Settings!$B$8+Settings!$B$9,2),0)</f>
        <v>0</v>
      </c>
      <c r="I41" s="20" t="str">
        <f aca="false">IF(A41="","",E41+F41-H41)</f>
        <v/>
      </c>
      <c r="J41" s="21" t="str">
        <f aca="false">IF(A41="","",MONTH(A41))</f>
        <v/>
      </c>
    </row>
    <row r="42" customFormat="false" ht="15" hidden="false" customHeight="false" outlineLevel="0" collapsed="false">
      <c r="A42" s="19"/>
      <c r="B42" s="7"/>
      <c r="C42" s="7"/>
      <c r="D42" s="7"/>
      <c r="E42" s="17"/>
      <c r="F42" s="17"/>
      <c r="G42" s="7"/>
      <c r="H42" s="20" t="n">
        <f aca="false">IF(G42="Card",ROUND((E42+F42)*Settings!$B$8+Settings!$B$9,2),0)</f>
        <v>0</v>
      </c>
      <c r="I42" s="20" t="str">
        <f aca="false">IF(A42="","",E42+F42-H42)</f>
        <v/>
      </c>
      <c r="J42" s="21" t="str">
        <f aca="false">IF(A42="","",MONTH(A42))</f>
        <v/>
      </c>
    </row>
    <row r="43" customFormat="false" ht="15" hidden="false" customHeight="false" outlineLevel="0" collapsed="false">
      <c r="A43" s="19"/>
      <c r="B43" s="7"/>
      <c r="C43" s="7"/>
      <c r="D43" s="7"/>
      <c r="E43" s="17"/>
      <c r="F43" s="17"/>
      <c r="G43" s="7"/>
      <c r="H43" s="20" t="n">
        <f aca="false">IF(G43="Card",ROUND((E43+F43)*Settings!$B$8+Settings!$B$9,2),0)</f>
        <v>0</v>
      </c>
      <c r="I43" s="20" t="str">
        <f aca="false">IF(A43="","",E43+F43-H43)</f>
        <v/>
      </c>
      <c r="J43" s="21" t="str">
        <f aca="false">IF(A43="","",MONTH(A43))</f>
        <v/>
      </c>
    </row>
    <row r="44" customFormat="false" ht="15" hidden="false" customHeight="false" outlineLevel="0" collapsed="false">
      <c r="A44" s="19"/>
      <c r="B44" s="7"/>
      <c r="C44" s="7"/>
      <c r="D44" s="7"/>
      <c r="E44" s="17"/>
      <c r="F44" s="17"/>
      <c r="G44" s="7"/>
      <c r="H44" s="20" t="n">
        <f aca="false">IF(G44="Card",ROUND((E44+F44)*Settings!$B$8+Settings!$B$9,2),0)</f>
        <v>0</v>
      </c>
      <c r="I44" s="20" t="str">
        <f aca="false">IF(A44="","",E44+F44-H44)</f>
        <v/>
      </c>
      <c r="J44" s="21" t="str">
        <f aca="false">IF(A44="","",MONTH(A44))</f>
        <v/>
      </c>
    </row>
    <row r="45" customFormat="false" ht="15" hidden="false" customHeight="false" outlineLevel="0" collapsed="false">
      <c r="A45" s="19"/>
      <c r="B45" s="7"/>
      <c r="C45" s="7"/>
      <c r="D45" s="7"/>
      <c r="E45" s="17"/>
      <c r="F45" s="17"/>
      <c r="G45" s="7"/>
      <c r="H45" s="20" t="n">
        <f aca="false">IF(G45="Card",ROUND((E45+F45)*Settings!$B$8+Settings!$B$9,2),0)</f>
        <v>0</v>
      </c>
      <c r="I45" s="20" t="str">
        <f aca="false">IF(A45="","",E45+F45-H45)</f>
        <v/>
      </c>
      <c r="J45" s="21" t="str">
        <f aca="false">IF(A45="","",MONTH(A45))</f>
        <v/>
      </c>
    </row>
    <row r="46" customFormat="false" ht="15" hidden="false" customHeight="false" outlineLevel="0" collapsed="false">
      <c r="A46" s="19"/>
      <c r="B46" s="7"/>
      <c r="C46" s="7"/>
      <c r="D46" s="7"/>
      <c r="E46" s="17"/>
      <c r="F46" s="17"/>
      <c r="G46" s="7"/>
      <c r="H46" s="20" t="n">
        <f aca="false">IF(G46="Card",ROUND((E46+F46)*Settings!$B$8+Settings!$B$9,2),0)</f>
        <v>0</v>
      </c>
      <c r="I46" s="20" t="str">
        <f aca="false">IF(A46="","",E46+F46-H46)</f>
        <v/>
      </c>
      <c r="J46" s="21" t="str">
        <f aca="false">IF(A46="","",MONTH(A46))</f>
        <v/>
      </c>
    </row>
    <row r="47" customFormat="false" ht="15" hidden="false" customHeight="false" outlineLevel="0" collapsed="false">
      <c r="A47" s="19"/>
      <c r="B47" s="7"/>
      <c r="C47" s="7"/>
      <c r="D47" s="7"/>
      <c r="E47" s="17"/>
      <c r="F47" s="17"/>
      <c r="G47" s="7"/>
      <c r="H47" s="20" t="n">
        <f aca="false">IF(G47="Card",ROUND((E47+F47)*Settings!$B$8+Settings!$B$9,2),0)</f>
        <v>0</v>
      </c>
      <c r="I47" s="20" t="str">
        <f aca="false">IF(A47="","",E47+F47-H47)</f>
        <v/>
      </c>
      <c r="J47" s="21" t="str">
        <f aca="false">IF(A47="","",MONTH(A47))</f>
        <v/>
      </c>
    </row>
    <row r="48" customFormat="false" ht="15" hidden="false" customHeight="false" outlineLevel="0" collapsed="false">
      <c r="A48" s="19"/>
      <c r="B48" s="7"/>
      <c r="C48" s="7"/>
      <c r="D48" s="7"/>
      <c r="E48" s="17"/>
      <c r="F48" s="17"/>
      <c r="G48" s="7"/>
      <c r="H48" s="20" t="n">
        <f aca="false">IF(G48="Card",ROUND((E48+F48)*Settings!$B$8+Settings!$B$9,2),0)</f>
        <v>0</v>
      </c>
      <c r="I48" s="20" t="str">
        <f aca="false">IF(A48="","",E48+F48-H48)</f>
        <v/>
      </c>
      <c r="J48" s="21" t="str">
        <f aca="false">IF(A48="","",MONTH(A48))</f>
        <v/>
      </c>
    </row>
    <row r="49" customFormat="false" ht="15" hidden="false" customHeight="false" outlineLevel="0" collapsed="false">
      <c r="A49" s="19"/>
      <c r="B49" s="7"/>
      <c r="C49" s="7"/>
      <c r="D49" s="7"/>
      <c r="E49" s="17"/>
      <c r="F49" s="17"/>
      <c r="G49" s="7"/>
      <c r="H49" s="20" t="n">
        <f aca="false">IF(G49="Card",ROUND((E49+F49)*Settings!$B$8+Settings!$B$9,2),0)</f>
        <v>0</v>
      </c>
      <c r="I49" s="20" t="str">
        <f aca="false">IF(A49="","",E49+F49-H49)</f>
        <v/>
      </c>
      <c r="J49" s="21" t="str">
        <f aca="false">IF(A49="","",MONTH(A49))</f>
        <v/>
      </c>
    </row>
    <row r="50" customFormat="false" ht="15" hidden="false" customHeight="false" outlineLevel="0" collapsed="false">
      <c r="A50" s="19"/>
      <c r="B50" s="7"/>
      <c r="C50" s="7"/>
      <c r="D50" s="7"/>
      <c r="E50" s="17"/>
      <c r="F50" s="17"/>
      <c r="G50" s="7"/>
      <c r="H50" s="20" t="n">
        <f aca="false">IF(G50="Card",ROUND((E50+F50)*Settings!$B$8+Settings!$B$9,2),0)</f>
        <v>0</v>
      </c>
      <c r="I50" s="20" t="str">
        <f aca="false">IF(A50="","",E50+F50-H50)</f>
        <v/>
      </c>
      <c r="J50" s="21" t="str">
        <f aca="false">IF(A50="","",MONTH(A50))</f>
        <v/>
      </c>
    </row>
    <row r="51" customFormat="false" ht="15" hidden="false" customHeight="false" outlineLevel="0" collapsed="false">
      <c r="A51" s="19"/>
      <c r="B51" s="7"/>
      <c r="C51" s="7"/>
      <c r="D51" s="7"/>
      <c r="E51" s="17"/>
      <c r="F51" s="17"/>
      <c r="G51" s="7"/>
      <c r="H51" s="20" t="n">
        <f aca="false">IF(G51="Card",ROUND((E51+F51)*Settings!$B$8+Settings!$B$9,2),0)</f>
        <v>0</v>
      </c>
      <c r="I51" s="20" t="str">
        <f aca="false">IF(A51="","",E51+F51-H51)</f>
        <v/>
      </c>
      <c r="J51" s="21" t="str">
        <f aca="false">IF(A51="","",MONTH(A51))</f>
        <v/>
      </c>
    </row>
    <row r="52" customFormat="false" ht="15" hidden="false" customHeight="false" outlineLevel="0" collapsed="false">
      <c r="A52" s="19"/>
      <c r="B52" s="7"/>
      <c r="C52" s="7"/>
      <c r="D52" s="7"/>
      <c r="E52" s="17"/>
      <c r="F52" s="17"/>
      <c r="G52" s="7"/>
      <c r="H52" s="20" t="n">
        <f aca="false">IF(G52="Card",ROUND((E52+F52)*Settings!$B$8+Settings!$B$9,2),0)</f>
        <v>0</v>
      </c>
      <c r="I52" s="20" t="str">
        <f aca="false">IF(A52="","",E52+F52-H52)</f>
        <v/>
      </c>
      <c r="J52" s="21" t="str">
        <f aca="false">IF(A52="","",MONTH(A52))</f>
        <v/>
      </c>
    </row>
    <row r="53" customFormat="false" ht="15" hidden="false" customHeight="false" outlineLevel="0" collapsed="false">
      <c r="A53" s="19"/>
      <c r="B53" s="7"/>
      <c r="C53" s="7"/>
      <c r="D53" s="7"/>
      <c r="E53" s="17"/>
      <c r="F53" s="17"/>
      <c r="G53" s="7"/>
      <c r="H53" s="20" t="n">
        <f aca="false">IF(G53="Card",ROUND((E53+F53)*Settings!$B$8+Settings!$B$9,2),0)</f>
        <v>0</v>
      </c>
      <c r="I53" s="20" t="str">
        <f aca="false">IF(A53="","",E53+F53-H53)</f>
        <v/>
      </c>
      <c r="J53" s="21" t="str">
        <f aca="false">IF(A53="","",MONTH(A53))</f>
        <v/>
      </c>
    </row>
    <row r="54" customFormat="false" ht="15" hidden="false" customHeight="false" outlineLevel="0" collapsed="false">
      <c r="A54" s="19"/>
      <c r="B54" s="7"/>
      <c r="C54" s="7"/>
      <c r="D54" s="7"/>
      <c r="E54" s="17"/>
      <c r="F54" s="17"/>
      <c r="G54" s="7"/>
      <c r="H54" s="20" t="n">
        <f aca="false">IF(G54="Card",ROUND((E54+F54)*Settings!$B$8+Settings!$B$9,2),0)</f>
        <v>0</v>
      </c>
      <c r="I54" s="20" t="str">
        <f aca="false">IF(A54="","",E54+F54-H54)</f>
        <v/>
      </c>
      <c r="J54" s="21" t="str">
        <f aca="false">IF(A54="","",MONTH(A54))</f>
        <v/>
      </c>
    </row>
    <row r="55" customFormat="false" ht="15" hidden="false" customHeight="false" outlineLevel="0" collapsed="false">
      <c r="A55" s="19"/>
      <c r="B55" s="7"/>
      <c r="C55" s="7"/>
      <c r="D55" s="7"/>
      <c r="E55" s="17"/>
      <c r="F55" s="17"/>
      <c r="G55" s="7"/>
      <c r="H55" s="20" t="n">
        <f aca="false">IF(G55="Card",ROUND((E55+F55)*Settings!$B$8+Settings!$B$9,2),0)</f>
        <v>0</v>
      </c>
      <c r="I55" s="20" t="str">
        <f aca="false">IF(A55="","",E55+F55-H55)</f>
        <v/>
      </c>
      <c r="J55" s="21" t="str">
        <f aca="false">IF(A55="","",MONTH(A55))</f>
        <v/>
      </c>
    </row>
    <row r="56" customFormat="false" ht="15" hidden="false" customHeight="false" outlineLevel="0" collapsed="false">
      <c r="A56" s="19"/>
      <c r="B56" s="7"/>
      <c r="C56" s="7"/>
      <c r="D56" s="7"/>
      <c r="E56" s="17"/>
      <c r="F56" s="17"/>
      <c r="G56" s="7"/>
      <c r="H56" s="20" t="n">
        <f aca="false">IF(G56="Card",ROUND((E56+F56)*Settings!$B$8+Settings!$B$9,2),0)</f>
        <v>0</v>
      </c>
      <c r="I56" s="20" t="str">
        <f aca="false">IF(A56="","",E56+F56-H56)</f>
        <v/>
      </c>
      <c r="J56" s="21" t="str">
        <f aca="false">IF(A56="","",MONTH(A56))</f>
        <v/>
      </c>
    </row>
    <row r="57" customFormat="false" ht="15" hidden="false" customHeight="false" outlineLevel="0" collapsed="false">
      <c r="A57" s="19"/>
      <c r="B57" s="7"/>
      <c r="C57" s="7"/>
      <c r="D57" s="7"/>
      <c r="E57" s="17"/>
      <c r="F57" s="17"/>
      <c r="G57" s="7"/>
      <c r="H57" s="20" t="n">
        <f aca="false">IF(G57="Card",ROUND((E57+F57)*Settings!$B$8+Settings!$B$9,2),0)</f>
        <v>0</v>
      </c>
      <c r="I57" s="20" t="str">
        <f aca="false">IF(A57="","",E57+F57-H57)</f>
        <v/>
      </c>
      <c r="J57" s="21" t="str">
        <f aca="false">IF(A57="","",MONTH(A57))</f>
        <v/>
      </c>
    </row>
    <row r="58" customFormat="false" ht="15" hidden="false" customHeight="false" outlineLevel="0" collapsed="false">
      <c r="A58" s="19"/>
      <c r="B58" s="7"/>
      <c r="C58" s="7"/>
      <c r="D58" s="7"/>
      <c r="E58" s="17"/>
      <c r="F58" s="17"/>
      <c r="G58" s="7"/>
      <c r="H58" s="20" t="n">
        <f aca="false">IF(G58="Card",ROUND((E58+F58)*Settings!$B$8+Settings!$B$9,2),0)</f>
        <v>0</v>
      </c>
      <c r="I58" s="20" t="str">
        <f aca="false">IF(A58="","",E58+F58-H58)</f>
        <v/>
      </c>
      <c r="J58" s="21" t="str">
        <f aca="false">IF(A58="","",MONTH(A58))</f>
        <v/>
      </c>
    </row>
    <row r="59" customFormat="false" ht="15" hidden="false" customHeight="false" outlineLevel="0" collapsed="false">
      <c r="A59" s="19"/>
      <c r="B59" s="7"/>
      <c r="C59" s="7"/>
      <c r="D59" s="7"/>
      <c r="E59" s="17"/>
      <c r="F59" s="17"/>
      <c r="G59" s="7"/>
      <c r="H59" s="20" t="n">
        <f aca="false">IF(G59="Card",ROUND((E59+F59)*Settings!$B$8+Settings!$B$9,2),0)</f>
        <v>0</v>
      </c>
      <c r="I59" s="20" t="str">
        <f aca="false">IF(A59="","",E59+F59-H59)</f>
        <v/>
      </c>
      <c r="J59" s="21" t="str">
        <f aca="false">IF(A59="","",MONTH(A59))</f>
        <v/>
      </c>
    </row>
    <row r="60" customFormat="false" ht="15" hidden="false" customHeight="false" outlineLevel="0" collapsed="false">
      <c r="A60" s="19"/>
      <c r="B60" s="7"/>
      <c r="C60" s="7"/>
      <c r="D60" s="7"/>
      <c r="E60" s="17"/>
      <c r="F60" s="17"/>
      <c r="G60" s="7"/>
      <c r="H60" s="20" t="n">
        <f aca="false">IF(G60="Card",ROUND((E60+F60)*Settings!$B$8+Settings!$B$9,2),0)</f>
        <v>0</v>
      </c>
      <c r="I60" s="20" t="str">
        <f aca="false">IF(A60="","",E60+F60-H60)</f>
        <v/>
      </c>
      <c r="J60" s="21" t="str">
        <f aca="false">IF(A60="","",MONTH(A60))</f>
        <v/>
      </c>
    </row>
    <row r="61" customFormat="false" ht="15" hidden="false" customHeight="false" outlineLevel="0" collapsed="false">
      <c r="A61" s="19"/>
      <c r="B61" s="7"/>
      <c r="C61" s="7"/>
      <c r="D61" s="7"/>
      <c r="E61" s="17"/>
      <c r="F61" s="17"/>
      <c r="G61" s="7"/>
      <c r="H61" s="20" t="n">
        <f aca="false">IF(G61="Card",ROUND((E61+F61)*Settings!$B$8+Settings!$B$9,2),0)</f>
        <v>0</v>
      </c>
      <c r="I61" s="20" t="str">
        <f aca="false">IF(A61="","",E61+F61-H61)</f>
        <v/>
      </c>
      <c r="J61" s="21" t="str">
        <f aca="false">IF(A61="","",MONTH(A61))</f>
        <v/>
      </c>
    </row>
    <row r="62" customFormat="false" ht="15" hidden="false" customHeight="false" outlineLevel="0" collapsed="false">
      <c r="A62" s="19"/>
      <c r="B62" s="7"/>
      <c r="C62" s="7"/>
      <c r="D62" s="7"/>
      <c r="E62" s="17"/>
      <c r="F62" s="17"/>
      <c r="G62" s="7"/>
      <c r="H62" s="20" t="n">
        <f aca="false">IF(G62="Card",ROUND((E62+F62)*Settings!$B$8+Settings!$B$9,2),0)</f>
        <v>0</v>
      </c>
      <c r="I62" s="20" t="str">
        <f aca="false">IF(A62="","",E62+F62-H62)</f>
        <v/>
      </c>
      <c r="J62" s="21" t="str">
        <f aca="false">IF(A62="","",MONTH(A62))</f>
        <v/>
      </c>
    </row>
    <row r="63" customFormat="false" ht="15" hidden="false" customHeight="false" outlineLevel="0" collapsed="false">
      <c r="A63" s="19"/>
      <c r="B63" s="7"/>
      <c r="C63" s="7"/>
      <c r="D63" s="7"/>
      <c r="E63" s="17"/>
      <c r="F63" s="17"/>
      <c r="G63" s="7"/>
      <c r="H63" s="20" t="n">
        <f aca="false">IF(G63="Card",ROUND((E63+F63)*Settings!$B$8+Settings!$B$9,2),0)</f>
        <v>0</v>
      </c>
      <c r="I63" s="20" t="str">
        <f aca="false">IF(A63="","",E63+F63-H63)</f>
        <v/>
      </c>
      <c r="J63" s="21" t="str">
        <f aca="false">IF(A63="","",MONTH(A63))</f>
        <v/>
      </c>
    </row>
    <row r="64" customFormat="false" ht="15" hidden="false" customHeight="false" outlineLevel="0" collapsed="false">
      <c r="A64" s="19"/>
      <c r="B64" s="7"/>
      <c r="C64" s="7"/>
      <c r="D64" s="7"/>
      <c r="E64" s="17"/>
      <c r="F64" s="17"/>
      <c r="G64" s="7"/>
      <c r="H64" s="20" t="n">
        <f aca="false">IF(G64="Card",ROUND((E64+F64)*Settings!$B$8+Settings!$B$9,2),0)</f>
        <v>0</v>
      </c>
      <c r="I64" s="20" t="str">
        <f aca="false">IF(A64="","",E64+F64-H64)</f>
        <v/>
      </c>
      <c r="J64" s="21" t="str">
        <f aca="false">IF(A64="","",MONTH(A64))</f>
        <v/>
      </c>
    </row>
    <row r="65" customFormat="false" ht="15" hidden="false" customHeight="false" outlineLevel="0" collapsed="false">
      <c r="A65" s="19"/>
      <c r="B65" s="7"/>
      <c r="C65" s="7"/>
      <c r="D65" s="7"/>
      <c r="E65" s="17"/>
      <c r="F65" s="17"/>
      <c r="G65" s="7"/>
      <c r="H65" s="20" t="n">
        <f aca="false">IF(G65="Card",ROUND((E65+F65)*Settings!$B$8+Settings!$B$9,2),0)</f>
        <v>0</v>
      </c>
      <c r="I65" s="20" t="str">
        <f aca="false">IF(A65="","",E65+F65-H65)</f>
        <v/>
      </c>
      <c r="J65" s="21" t="str">
        <f aca="false">IF(A65="","",MONTH(A65))</f>
        <v/>
      </c>
    </row>
    <row r="66" customFormat="false" ht="15" hidden="false" customHeight="false" outlineLevel="0" collapsed="false">
      <c r="A66" s="19"/>
      <c r="B66" s="7"/>
      <c r="C66" s="7"/>
      <c r="D66" s="7"/>
      <c r="E66" s="17"/>
      <c r="F66" s="17"/>
      <c r="G66" s="7"/>
      <c r="H66" s="20" t="n">
        <f aca="false">IF(G66="Card",ROUND((E66+F66)*Settings!$B$8+Settings!$B$9,2),0)</f>
        <v>0</v>
      </c>
      <c r="I66" s="20" t="str">
        <f aca="false">IF(A66="","",E66+F66-H66)</f>
        <v/>
      </c>
      <c r="J66" s="21" t="str">
        <f aca="false">IF(A66="","",MONTH(A66))</f>
        <v/>
      </c>
    </row>
    <row r="67" customFormat="false" ht="15" hidden="false" customHeight="false" outlineLevel="0" collapsed="false">
      <c r="A67" s="19"/>
      <c r="B67" s="7"/>
      <c r="C67" s="7"/>
      <c r="D67" s="7"/>
      <c r="E67" s="17"/>
      <c r="F67" s="17"/>
      <c r="G67" s="7"/>
      <c r="H67" s="20" t="n">
        <f aca="false">IF(G67="Card",ROUND((E67+F67)*Settings!$B$8+Settings!$B$9,2),0)</f>
        <v>0</v>
      </c>
      <c r="I67" s="20" t="str">
        <f aca="false">IF(A67="","",E67+F67-H67)</f>
        <v/>
      </c>
      <c r="J67" s="21" t="str">
        <f aca="false">IF(A67="","",MONTH(A67))</f>
        <v/>
      </c>
    </row>
    <row r="68" customFormat="false" ht="15" hidden="false" customHeight="false" outlineLevel="0" collapsed="false">
      <c r="A68" s="19"/>
      <c r="B68" s="7"/>
      <c r="C68" s="7"/>
      <c r="D68" s="7"/>
      <c r="E68" s="17"/>
      <c r="F68" s="17"/>
      <c r="G68" s="7"/>
      <c r="H68" s="20" t="n">
        <f aca="false">IF(G68="Card",ROUND((E68+F68)*Settings!$B$8+Settings!$B$9,2),0)</f>
        <v>0</v>
      </c>
      <c r="I68" s="20" t="str">
        <f aca="false">IF(A68="","",E68+F68-H68)</f>
        <v/>
      </c>
      <c r="J68" s="21" t="str">
        <f aca="false">IF(A68="","",MONTH(A68))</f>
        <v/>
      </c>
    </row>
    <row r="69" customFormat="false" ht="15" hidden="false" customHeight="false" outlineLevel="0" collapsed="false">
      <c r="A69" s="19"/>
      <c r="B69" s="7"/>
      <c r="C69" s="7"/>
      <c r="D69" s="7"/>
      <c r="E69" s="17"/>
      <c r="F69" s="17"/>
      <c r="G69" s="7"/>
      <c r="H69" s="20" t="n">
        <f aca="false">IF(G69="Card",ROUND((E69+F69)*Settings!$B$8+Settings!$B$9,2),0)</f>
        <v>0</v>
      </c>
      <c r="I69" s="20" t="str">
        <f aca="false">IF(A69="","",E69+F69-H69)</f>
        <v/>
      </c>
      <c r="J69" s="21" t="str">
        <f aca="false">IF(A69="","",MONTH(A69))</f>
        <v/>
      </c>
    </row>
    <row r="70" customFormat="false" ht="15" hidden="false" customHeight="false" outlineLevel="0" collapsed="false">
      <c r="A70" s="19"/>
      <c r="B70" s="7"/>
      <c r="C70" s="7"/>
      <c r="D70" s="7"/>
      <c r="E70" s="17"/>
      <c r="F70" s="17"/>
      <c r="G70" s="7"/>
      <c r="H70" s="20" t="n">
        <f aca="false">IF(G70="Card",ROUND((E70+F70)*Settings!$B$8+Settings!$B$9,2),0)</f>
        <v>0</v>
      </c>
      <c r="I70" s="20" t="str">
        <f aca="false">IF(A70="","",E70+F70-H70)</f>
        <v/>
      </c>
      <c r="J70" s="21" t="str">
        <f aca="false">IF(A70="","",MONTH(A70))</f>
        <v/>
      </c>
    </row>
    <row r="71" customFormat="false" ht="15" hidden="false" customHeight="false" outlineLevel="0" collapsed="false">
      <c r="A71" s="19"/>
      <c r="B71" s="7"/>
      <c r="C71" s="7"/>
      <c r="D71" s="7"/>
      <c r="E71" s="17"/>
      <c r="F71" s="17"/>
      <c r="G71" s="7"/>
      <c r="H71" s="20" t="n">
        <f aca="false">IF(G71="Card",ROUND((E71+F71)*Settings!$B$8+Settings!$B$9,2),0)</f>
        <v>0</v>
      </c>
      <c r="I71" s="20" t="str">
        <f aca="false">IF(A71="","",E71+F71-H71)</f>
        <v/>
      </c>
      <c r="J71" s="21" t="str">
        <f aca="false">IF(A71="","",MONTH(A71))</f>
        <v/>
      </c>
    </row>
    <row r="72" customFormat="false" ht="15" hidden="false" customHeight="false" outlineLevel="0" collapsed="false">
      <c r="A72" s="19"/>
      <c r="B72" s="7"/>
      <c r="C72" s="7"/>
      <c r="D72" s="7"/>
      <c r="E72" s="17"/>
      <c r="F72" s="17"/>
      <c r="G72" s="7"/>
      <c r="H72" s="20" t="n">
        <f aca="false">IF(G72="Card",ROUND((E72+F72)*Settings!$B$8+Settings!$B$9,2),0)</f>
        <v>0</v>
      </c>
      <c r="I72" s="20" t="str">
        <f aca="false">IF(A72="","",E72+F72-H72)</f>
        <v/>
      </c>
      <c r="J72" s="21" t="str">
        <f aca="false">IF(A72="","",MONTH(A72))</f>
        <v/>
      </c>
    </row>
    <row r="73" customFormat="false" ht="15" hidden="false" customHeight="false" outlineLevel="0" collapsed="false">
      <c r="A73" s="19"/>
      <c r="B73" s="7"/>
      <c r="C73" s="7"/>
      <c r="D73" s="7"/>
      <c r="E73" s="17"/>
      <c r="F73" s="17"/>
      <c r="G73" s="7"/>
      <c r="H73" s="20" t="n">
        <f aca="false">IF(G73="Card",ROUND((E73+F73)*Settings!$B$8+Settings!$B$9,2),0)</f>
        <v>0</v>
      </c>
      <c r="I73" s="20" t="str">
        <f aca="false">IF(A73="","",E73+F73-H73)</f>
        <v/>
      </c>
      <c r="J73" s="21" t="str">
        <f aca="false">IF(A73="","",MONTH(A73))</f>
        <v/>
      </c>
    </row>
    <row r="74" customFormat="false" ht="15" hidden="false" customHeight="false" outlineLevel="0" collapsed="false">
      <c r="A74" s="19"/>
      <c r="B74" s="7"/>
      <c r="C74" s="7"/>
      <c r="D74" s="7"/>
      <c r="E74" s="17"/>
      <c r="F74" s="17"/>
      <c r="G74" s="7"/>
      <c r="H74" s="20" t="n">
        <f aca="false">IF(G74="Card",ROUND((E74+F74)*Settings!$B$8+Settings!$B$9,2),0)</f>
        <v>0</v>
      </c>
      <c r="I74" s="20" t="str">
        <f aca="false">IF(A74="","",E74+F74-H74)</f>
        <v/>
      </c>
      <c r="J74" s="21" t="str">
        <f aca="false">IF(A74="","",MONTH(A74))</f>
        <v/>
      </c>
    </row>
    <row r="75" customFormat="false" ht="15" hidden="false" customHeight="false" outlineLevel="0" collapsed="false">
      <c r="A75" s="19"/>
      <c r="B75" s="7"/>
      <c r="C75" s="7"/>
      <c r="D75" s="7"/>
      <c r="E75" s="17"/>
      <c r="F75" s="17"/>
      <c r="G75" s="7"/>
      <c r="H75" s="20" t="n">
        <f aca="false">IF(G75="Card",ROUND((E75+F75)*Settings!$B$8+Settings!$B$9,2),0)</f>
        <v>0</v>
      </c>
      <c r="I75" s="20" t="str">
        <f aca="false">IF(A75="","",E75+F75-H75)</f>
        <v/>
      </c>
      <c r="J75" s="21" t="str">
        <f aca="false">IF(A75="","",MONTH(A75))</f>
        <v/>
      </c>
    </row>
    <row r="76" customFormat="false" ht="15" hidden="false" customHeight="false" outlineLevel="0" collapsed="false">
      <c r="A76" s="19"/>
      <c r="B76" s="7"/>
      <c r="C76" s="7"/>
      <c r="D76" s="7"/>
      <c r="E76" s="17"/>
      <c r="F76" s="17"/>
      <c r="G76" s="7"/>
      <c r="H76" s="20" t="n">
        <f aca="false">IF(G76="Card",ROUND((E76+F76)*Settings!$B$8+Settings!$B$9,2),0)</f>
        <v>0</v>
      </c>
      <c r="I76" s="20" t="str">
        <f aca="false">IF(A76="","",E76+F76-H76)</f>
        <v/>
      </c>
      <c r="J76" s="21" t="str">
        <f aca="false">IF(A76="","",MONTH(A76))</f>
        <v/>
      </c>
    </row>
    <row r="77" customFormat="false" ht="15" hidden="false" customHeight="false" outlineLevel="0" collapsed="false">
      <c r="A77" s="19"/>
      <c r="B77" s="7"/>
      <c r="C77" s="7"/>
      <c r="D77" s="7"/>
      <c r="E77" s="17"/>
      <c r="F77" s="17"/>
      <c r="G77" s="7"/>
      <c r="H77" s="20" t="n">
        <f aca="false">IF(G77="Card",ROUND((E77+F77)*Settings!$B$8+Settings!$B$9,2),0)</f>
        <v>0</v>
      </c>
      <c r="I77" s="20" t="str">
        <f aca="false">IF(A77="","",E77+F77-H77)</f>
        <v/>
      </c>
      <c r="J77" s="21" t="str">
        <f aca="false">IF(A77="","",MONTH(A77))</f>
        <v/>
      </c>
    </row>
    <row r="78" customFormat="false" ht="15" hidden="false" customHeight="false" outlineLevel="0" collapsed="false">
      <c r="A78" s="19"/>
      <c r="B78" s="7"/>
      <c r="C78" s="7"/>
      <c r="D78" s="7"/>
      <c r="E78" s="17"/>
      <c r="F78" s="17"/>
      <c r="G78" s="7"/>
      <c r="H78" s="20" t="n">
        <f aca="false">IF(G78="Card",ROUND((E78+F78)*Settings!$B$8+Settings!$B$9,2),0)</f>
        <v>0</v>
      </c>
      <c r="I78" s="20" t="str">
        <f aca="false">IF(A78="","",E78+F78-H78)</f>
        <v/>
      </c>
      <c r="J78" s="21" t="str">
        <f aca="false">IF(A78="","",MONTH(A78))</f>
        <v/>
      </c>
    </row>
    <row r="79" customFormat="false" ht="15" hidden="false" customHeight="false" outlineLevel="0" collapsed="false">
      <c r="A79" s="19"/>
      <c r="B79" s="7"/>
      <c r="C79" s="7"/>
      <c r="D79" s="7"/>
      <c r="E79" s="17"/>
      <c r="F79" s="17"/>
      <c r="G79" s="7"/>
      <c r="H79" s="20" t="n">
        <f aca="false">IF(G79="Card",ROUND((E79+F79)*Settings!$B$8+Settings!$B$9,2),0)</f>
        <v>0</v>
      </c>
      <c r="I79" s="20" t="str">
        <f aca="false">IF(A79="","",E79+F79-H79)</f>
        <v/>
      </c>
      <c r="J79" s="21" t="str">
        <f aca="false">IF(A79="","",MONTH(A79))</f>
        <v/>
      </c>
    </row>
    <row r="80" customFormat="false" ht="15" hidden="false" customHeight="false" outlineLevel="0" collapsed="false">
      <c r="A80" s="19"/>
      <c r="B80" s="7"/>
      <c r="C80" s="7"/>
      <c r="D80" s="7"/>
      <c r="E80" s="17"/>
      <c r="F80" s="17"/>
      <c r="G80" s="7"/>
      <c r="H80" s="20" t="n">
        <f aca="false">IF(G80="Card",ROUND((E80+F80)*Settings!$B$8+Settings!$B$9,2),0)</f>
        <v>0</v>
      </c>
      <c r="I80" s="20" t="str">
        <f aca="false">IF(A80="","",E80+F80-H80)</f>
        <v/>
      </c>
      <c r="J80" s="21" t="str">
        <f aca="false">IF(A80="","",MONTH(A80))</f>
        <v/>
      </c>
    </row>
    <row r="81" customFormat="false" ht="15" hidden="false" customHeight="false" outlineLevel="0" collapsed="false">
      <c r="A81" s="19"/>
      <c r="B81" s="7"/>
      <c r="C81" s="7"/>
      <c r="D81" s="7"/>
      <c r="E81" s="17"/>
      <c r="F81" s="17"/>
      <c r="G81" s="7"/>
      <c r="H81" s="20" t="n">
        <f aca="false">IF(G81="Card",ROUND((E81+F81)*Settings!$B$8+Settings!$B$9,2),0)</f>
        <v>0</v>
      </c>
      <c r="I81" s="20" t="str">
        <f aca="false">IF(A81="","",E81+F81-H81)</f>
        <v/>
      </c>
      <c r="J81" s="21" t="str">
        <f aca="false">IF(A81="","",MONTH(A81))</f>
        <v/>
      </c>
    </row>
    <row r="82" customFormat="false" ht="15" hidden="false" customHeight="false" outlineLevel="0" collapsed="false">
      <c r="A82" s="19"/>
      <c r="B82" s="7"/>
      <c r="C82" s="7"/>
      <c r="D82" s="7"/>
      <c r="E82" s="17"/>
      <c r="F82" s="17"/>
      <c r="G82" s="7"/>
      <c r="H82" s="20" t="n">
        <f aca="false">IF(G82="Card",ROUND((E82+F82)*Settings!$B$8+Settings!$B$9,2),0)</f>
        <v>0</v>
      </c>
      <c r="I82" s="20" t="str">
        <f aca="false">IF(A82="","",E82+F82-H82)</f>
        <v/>
      </c>
      <c r="J82" s="21" t="str">
        <f aca="false">IF(A82="","",MONTH(A82))</f>
        <v/>
      </c>
    </row>
    <row r="83" customFormat="false" ht="15" hidden="false" customHeight="false" outlineLevel="0" collapsed="false">
      <c r="A83" s="19"/>
      <c r="B83" s="7"/>
      <c r="C83" s="7"/>
      <c r="D83" s="7"/>
      <c r="E83" s="17"/>
      <c r="F83" s="17"/>
      <c r="G83" s="7"/>
      <c r="H83" s="20" t="n">
        <f aca="false">IF(G83="Card",ROUND((E83+F83)*Settings!$B$8+Settings!$B$9,2),0)</f>
        <v>0</v>
      </c>
      <c r="I83" s="20" t="str">
        <f aca="false">IF(A83="","",E83+F83-H83)</f>
        <v/>
      </c>
      <c r="J83" s="21" t="str">
        <f aca="false">IF(A83="","",MONTH(A83))</f>
        <v/>
      </c>
    </row>
    <row r="84" customFormat="false" ht="15" hidden="false" customHeight="false" outlineLevel="0" collapsed="false">
      <c r="A84" s="19"/>
      <c r="B84" s="7"/>
      <c r="C84" s="7"/>
      <c r="D84" s="7"/>
      <c r="E84" s="17"/>
      <c r="F84" s="17"/>
      <c r="G84" s="7"/>
      <c r="H84" s="20" t="n">
        <f aca="false">IF(G84="Card",ROUND((E84+F84)*Settings!$B$8+Settings!$B$9,2),0)</f>
        <v>0</v>
      </c>
      <c r="I84" s="20" t="str">
        <f aca="false">IF(A84="","",E84+F84-H84)</f>
        <v/>
      </c>
      <c r="J84" s="21" t="str">
        <f aca="false">IF(A84="","",MONTH(A84))</f>
        <v/>
      </c>
    </row>
    <row r="85" customFormat="false" ht="15" hidden="false" customHeight="false" outlineLevel="0" collapsed="false">
      <c r="A85" s="19"/>
      <c r="B85" s="7"/>
      <c r="C85" s="7"/>
      <c r="D85" s="7"/>
      <c r="E85" s="17"/>
      <c r="F85" s="17"/>
      <c r="G85" s="7"/>
      <c r="H85" s="20" t="n">
        <f aca="false">IF(G85="Card",ROUND((E85+F85)*Settings!$B$8+Settings!$B$9,2),0)</f>
        <v>0</v>
      </c>
      <c r="I85" s="20" t="str">
        <f aca="false">IF(A85="","",E85+F85-H85)</f>
        <v/>
      </c>
      <c r="J85" s="21" t="str">
        <f aca="false">IF(A85="","",MONTH(A85))</f>
        <v/>
      </c>
    </row>
    <row r="86" customFormat="false" ht="15" hidden="false" customHeight="false" outlineLevel="0" collapsed="false">
      <c r="A86" s="19"/>
      <c r="B86" s="7"/>
      <c r="C86" s="7"/>
      <c r="D86" s="7"/>
      <c r="E86" s="17"/>
      <c r="F86" s="17"/>
      <c r="G86" s="7"/>
      <c r="H86" s="20" t="n">
        <f aca="false">IF(G86="Card",ROUND((E86+F86)*Settings!$B$8+Settings!$B$9,2),0)</f>
        <v>0</v>
      </c>
      <c r="I86" s="20" t="str">
        <f aca="false">IF(A86="","",E86+F86-H86)</f>
        <v/>
      </c>
      <c r="J86" s="21" t="str">
        <f aca="false">IF(A86="","",MONTH(A86))</f>
        <v/>
      </c>
    </row>
    <row r="87" customFormat="false" ht="15" hidden="false" customHeight="false" outlineLevel="0" collapsed="false">
      <c r="A87" s="19"/>
      <c r="B87" s="7"/>
      <c r="C87" s="7"/>
      <c r="D87" s="7"/>
      <c r="E87" s="17"/>
      <c r="F87" s="17"/>
      <c r="G87" s="7"/>
      <c r="H87" s="20" t="n">
        <f aca="false">IF(G87="Card",ROUND((E87+F87)*Settings!$B$8+Settings!$B$9,2),0)</f>
        <v>0</v>
      </c>
      <c r="I87" s="20" t="str">
        <f aca="false">IF(A87="","",E87+F87-H87)</f>
        <v/>
      </c>
      <c r="J87" s="21" t="str">
        <f aca="false">IF(A87="","",MONTH(A87))</f>
        <v/>
      </c>
    </row>
    <row r="88" customFormat="false" ht="15" hidden="false" customHeight="false" outlineLevel="0" collapsed="false">
      <c r="A88" s="19"/>
      <c r="B88" s="7"/>
      <c r="C88" s="7"/>
      <c r="D88" s="7"/>
      <c r="E88" s="17"/>
      <c r="F88" s="17"/>
      <c r="G88" s="7"/>
      <c r="H88" s="20" t="n">
        <f aca="false">IF(G88="Card",ROUND((E88+F88)*Settings!$B$8+Settings!$B$9,2),0)</f>
        <v>0</v>
      </c>
      <c r="I88" s="20" t="str">
        <f aca="false">IF(A88="","",E88+F88-H88)</f>
        <v/>
      </c>
      <c r="J88" s="21" t="str">
        <f aca="false">IF(A88="","",MONTH(A88))</f>
        <v/>
      </c>
    </row>
    <row r="89" customFormat="false" ht="15" hidden="false" customHeight="false" outlineLevel="0" collapsed="false">
      <c r="A89" s="19"/>
      <c r="B89" s="7"/>
      <c r="C89" s="7"/>
      <c r="D89" s="7"/>
      <c r="E89" s="17"/>
      <c r="F89" s="17"/>
      <c r="G89" s="7"/>
      <c r="H89" s="20" t="n">
        <f aca="false">IF(G89="Card",ROUND((E89+F89)*Settings!$B$8+Settings!$B$9,2),0)</f>
        <v>0</v>
      </c>
      <c r="I89" s="20" t="str">
        <f aca="false">IF(A89="","",E89+F89-H89)</f>
        <v/>
      </c>
      <c r="J89" s="21" t="str">
        <f aca="false">IF(A89="","",MONTH(A89))</f>
        <v/>
      </c>
    </row>
    <row r="90" customFormat="false" ht="15" hidden="false" customHeight="false" outlineLevel="0" collapsed="false">
      <c r="A90" s="19"/>
      <c r="B90" s="7"/>
      <c r="C90" s="7"/>
      <c r="D90" s="7"/>
      <c r="E90" s="17"/>
      <c r="F90" s="17"/>
      <c r="G90" s="7"/>
      <c r="H90" s="20" t="n">
        <f aca="false">IF(G90="Card",ROUND((E90+F90)*Settings!$B$8+Settings!$B$9,2),0)</f>
        <v>0</v>
      </c>
      <c r="I90" s="20" t="str">
        <f aca="false">IF(A90="","",E90+F90-H90)</f>
        <v/>
      </c>
      <c r="J90" s="21" t="str">
        <f aca="false">IF(A90="","",MONTH(A90))</f>
        <v/>
      </c>
    </row>
    <row r="91" customFormat="false" ht="15" hidden="false" customHeight="false" outlineLevel="0" collapsed="false">
      <c r="A91" s="19"/>
      <c r="B91" s="7"/>
      <c r="C91" s="7"/>
      <c r="D91" s="7"/>
      <c r="E91" s="17"/>
      <c r="F91" s="17"/>
      <c r="G91" s="7"/>
      <c r="H91" s="20" t="n">
        <f aca="false">IF(G91="Card",ROUND((E91+F91)*Settings!$B$8+Settings!$B$9,2),0)</f>
        <v>0</v>
      </c>
      <c r="I91" s="20" t="str">
        <f aca="false">IF(A91="","",E91+F91-H91)</f>
        <v/>
      </c>
      <c r="J91" s="21" t="str">
        <f aca="false">IF(A91="","",MONTH(A91))</f>
        <v/>
      </c>
    </row>
    <row r="92" customFormat="false" ht="15" hidden="false" customHeight="false" outlineLevel="0" collapsed="false">
      <c r="A92" s="19"/>
      <c r="B92" s="7"/>
      <c r="C92" s="7"/>
      <c r="D92" s="7"/>
      <c r="E92" s="17"/>
      <c r="F92" s="17"/>
      <c r="G92" s="7"/>
      <c r="H92" s="20" t="n">
        <f aca="false">IF(G92="Card",ROUND((E92+F92)*Settings!$B$8+Settings!$B$9,2),0)</f>
        <v>0</v>
      </c>
      <c r="I92" s="20" t="str">
        <f aca="false">IF(A92="","",E92+F92-H92)</f>
        <v/>
      </c>
      <c r="J92" s="21" t="str">
        <f aca="false">IF(A92="","",MONTH(A92))</f>
        <v/>
      </c>
    </row>
    <row r="93" customFormat="false" ht="15" hidden="false" customHeight="false" outlineLevel="0" collapsed="false">
      <c r="A93" s="19"/>
      <c r="B93" s="7"/>
      <c r="C93" s="7"/>
      <c r="D93" s="7"/>
      <c r="E93" s="17"/>
      <c r="F93" s="17"/>
      <c r="G93" s="7"/>
      <c r="H93" s="20" t="n">
        <f aca="false">IF(G93="Card",ROUND((E93+F93)*Settings!$B$8+Settings!$B$9,2),0)</f>
        <v>0</v>
      </c>
      <c r="I93" s="20" t="str">
        <f aca="false">IF(A93="","",E93+F93-H93)</f>
        <v/>
      </c>
      <c r="J93" s="21" t="str">
        <f aca="false">IF(A93="","",MONTH(A93))</f>
        <v/>
      </c>
    </row>
    <row r="94" customFormat="false" ht="15" hidden="false" customHeight="false" outlineLevel="0" collapsed="false">
      <c r="A94" s="19"/>
      <c r="B94" s="7"/>
      <c r="C94" s="7"/>
      <c r="D94" s="7"/>
      <c r="E94" s="17"/>
      <c r="F94" s="17"/>
      <c r="G94" s="7"/>
      <c r="H94" s="20" t="n">
        <f aca="false">IF(G94="Card",ROUND((E94+F94)*Settings!$B$8+Settings!$B$9,2),0)</f>
        <v>0</v>
      </c>
      <c r="I94" s="20" t="str">
        <f aca="false">IF(A94="","",E94+F94-H94)</f>
        <v/>
      </c>
      <c r="J94" s="21" t="str">
        <f aca="false">IF(A94="","",MONTH(A94))</f>
        <v/>
      </c>
    </row>
    <row r="95" customFormat="false" ht="15" hidden="false" customHeight="false" outlineLevel="0" collapsed="false">
      <c r="A95" s="19"/>
      <c r="B95" s="7"/>
      <c r="C95" s="7"/>
      <c r="D95" s="7"/>
      <c r="E95" s="17"/>
      <c r="F95" s="17"/>
      <c r="G95" s="7"/>
      <c r="H95" s="20" t="n">
        <f aca="false">IF(G95="Card",ROUND((E95+F95)*Settings!$B$8+Settings!$B$9,2),0)</f>
        <v>0</v>
      </c>
      <c r="I95" s="20" t="str">
        <f aca="false">IF(A95="","",E95+F95-H95)</f>
        <v/>
      </c>
      <c r="J95" s="21" t="str">
        <f aca="false">IF(A95="","",MONTH(A95))</f>
        <v/>
      </c>
    </row>
    <row r="96" customFormat="false" ht="15" hidden="false" customHeight="false" outlineLevel="0" collapsed="false">
      <c r="A96" s="19"/>
      <c r="B96" s="7"/>
      <c r="C96" s="7"/>
      <c r="D96" s="7"/>
      <c r="E96" s="17"/>
      <c r="F96" s="17"/>
      <c r="G96" s="7"/>
      <c r="H96" s="20" t="n">
        <f aca="false">IF(G96="Card",ROUND((E96+F96)*Settings!$B$8+Settings!$B$9,2),0)</f>
        <v>0</v>
      </c>
      <c r="I96" s="20" t="str">
        <f aca="false">IF(A96="","",E96+F96-H96)</f>
        <v/>
      </c>
      <c r="J96" s="21" t="str">
        <f aca="false">IF(A96="","",MONTH(A96))</f>
        <v/>
      </c>
    </row>
    <row r="97" customFormat="false" ht="15" hidden="false" customHeight="false" outlineLevel="0" collapsed="false">
      <c r="A97" s="19"/>
      <c r="B97" s="7"/>
      <c r="C97" s="7"/>
      <c r="D97" s="7"/>
      <c r="E97" s="17"/>
      <c r="F97" s="17"/>
      <c r="G97" s="7"/>
      <c r="H97" s="20" t="n">
        <f aca="false">IF(G97="Card",ROUND((E97+F97)*Settings!$B$8+Settings!$B$9,2),0)</f>
        <v>0</v>
      </c>
      <c r="I97" s="20" t="str">
        <f aca="false">IF(A97="","",E97+F97-H97)</f>
        <v/>
      </c>
      <c r="J97" s="21" t="str">
        <f aca="false">IF(A97="","",MONTH(A97))</f>
        <v/>
      </c>
    </row>
    <row r="98" customFormat="false" ht="15" hidden="false" customHeight="false" outlineLevel="0" collapsed="false">
      <c r="A98" s="19"/>
      <c r="B98" s="7"/>
      <c r="C98" s="7"/>
      <c r="D98" s="7"/>
      <c r="E98" s="17"/>
      <c r="F98" s="17"/>
      <c r="G98" s="7"/>
      <c r="H98" s="20" t="n">
        <f aca="false">IF(G98="Card",ROUND((E98+F98)*Settings!$B$8+Settings!$B$9,2),0)</f>
        <v>0</v>
      </c>
      <c r="I98" s="20" t="str">
        <f aca="false">IF(A98="","",E98+F98-H98)</f>
        <v/>
      </c>
      <c r="J98" s="21" t="str">
        <f aca="false">IF(A98="","",MONTH(A98))</f>
        <v/>
      </c>
    </row>
    <row r="99" customFormat="false" ht="15" hidden="false" customHeight="false" outlineLevel="0" collapsed="false">
      <c r="A99" s="19"/>
      <c r="B99" s="7"/>
      <c r="C99" s="7"/>
      <c r="D99" s="7"/>
      <c r="E99" s="17"/>
      <c r="F99" s="17"/>
      <c r="G99" s="7"/>
      <c r="H99" s="20" t="n">
        <f aca="false">IF(G99="Card",ROUND((E99+F99)*Settings!$B$8+Settings!$B$9,2),0)</f>
        <v>0</v>
      </c>
      <c r="I99" s="20" t="str">
        <f aca="false">IF(A99="","",E99+F99-H99)</f>
        <v/>
      </c>
      <c r="J99" s="21" t="str">
        <f aca="false">IF(A99="","",MONTH(A99))</f>
        <v/>
      </c>
    </row>
    <row r="100" customFormat="false" ht="15" hidden="false" customHeight="false" outlineLevel="0" collapsed="false">
      <c r="A100" s="19"/>
      <c r="B100" s="7"/>
      <c r="C100" s="7"/>
      <c r="D100" s="7"/>
      <c r="E100" s="17"/>
      <c r="F100" s="17"/>
      <c r="G100" s="7"/>
      <c r="H100" s="20" t="n">
        <f aca="false">IF(G100="Card",ROUND((E100+F100)*Settings!$B$8+Settings!$B$9,2),0)</f>
        <v>0</v>
      </c>
      <c r="I100" s="20" t="str">
        <f aca="false">IF(A100="","",E100+F100-H100)</f>
        <v/>
      </c>
      <c r="J100" s="21" t="str">
        <f aca="false">IF(A100="","",MONTH(A100))</f>
        <v/>
      </c>
    </row>
    <row r="101" customFormat="false" ht="15" hidden="false" customHeight="false" outlineLevel="0" collapsed="false">
      <c r="A101" s="19"/>
      <c r="B101" s="7"/>
      <c r="C101" s="7"/>
      <c r="D101" s="7"/>
      <c r="E101" s="17"/>
      <c r="F101" s="17"/>
      <c r="G101" s="7"/>
      <c r="H101" s="20" t="n">
        <f aca="false">IF(G101="Card",ROUND((E101+F101)*Settings!$B$8+Settings!$B$9,2),0)</f>
        <v>0</v>
      </c>
      <c r="I101" s="20" t="str">
        <f aca="false">IF(A101="","",E101+F101-H101)</f>
        <v/>
      </c>
      <c r="J101" s="21" t="str">
        <f aca="false">IF(A101="","",MONTH(A101))</f>
        <v/>
      </c>
    </row>
    <row r="102" customFormat="false" ht="15" hidden="false" customHeight="false" outlineLevel="0" collapsed="false">
      <c r="A102" s="19"/>
      <c r="B102" s="7"/>
      <c r="C102" s="7"/>
      <c r="D102" s="7"/>
      <c r="E102" s="17"/>
      <c r="F102" s="17"/>
      <c r="G102" s="7"/>
      <c r="H102" s="20" t="n">
        <f aca="false">IF(G102="Card",ROUND((E102+F102)*Settings!$B$8+Settings!$B$9,2),0)</f>
        <v>0</v>
      </c>
      <c r="I102" s="20" t="str">
        <f aca="false">IF(A102="","",E102+F102-H102)</f>
        <v/>
      </c>
      <c r="J102" s="21" t="str">
        <f aca="false">IF(A102="","",MONTH(A102))</f>
        <v/>
      </c>
    </row>
    <row r="103" customFormat="false" ht="15" hidden="false" customHeight="false" outlineLevel="0" collapsed="false">
      <c r="A103" s="19"/>
      <c r="B103" s="7"/>
      <c r="C103" s="7"/>
      <c r="D103" s="7"/>
      <c r="E103" s="17"/>
      <c r="F103" s="17"/>
      <c r="G103" s="7"/>
      <c r="H103" s="20" t="n">
        <f aca="false">IF(G103="Card",ROUND((E103+F103)*Settings!$B$8+Settings!$B$9,2),0)</f>
        <v>0</v>
      </c>
      <c r="I103" s="20" t="str">
        <f aca="false">IF(A103="","",E103+F103-H103)</f>
        <v/>
      </c>
      <c r="J103" s="21" t="str">
        <f aca="false">IF(A103="","",MONTH(A103))</f>
        <v/>
      </c>
    </row>
    <row r="104" customFormat="false" ht="15" hidden="false" customHeight="false" outlineLevel="0" collapsed="false">
      <c r="A104" s="19"/>
      <c r="B104" s="7"/>
      <c r="C104" s="7"/>
      <c r="D104" s="7"/>
      <c r="E104" s="17"/>
      <c r="F104" s="17"/>
      <c r="G104" s="7"/>
      <c r="H104" s="20" t="n">
        <f aca="false">IF(G104="Card",ROUND((E104+F104)*Settings!$B$8+Settings!$B$9,2),0)</f>
        <v>0</v>
      </c>
      <c r="I104" s="20" t="str">
        <f aca="false">IF(A104="","",E104+F104-H104)</f>
        <v/>
      </c>
      <c r="J104" s="21" t="str">
        <f aca="false">IF(A104="","",MONTH(A104))</f>
        <v/>
      </c>
    </row>
    <row r="105" customFormat="false" ht="15" hidden="false" customHeight="false" outlineLevel="0" collapsed="false">
      <c r="A105" s="19"/>
      <c r="B105" s="7"/>
      <c r="C105" s="7"/>
      <c r="D105" s="7"/>
      <c r="E105" s="17"/>
      <c r="F105" s="17"/>
      <c r="G105" s="7"/>
      <c r="H105" s="20" t="n">
        <f aca="false">IF(G105="Card",ROUND((E105+F105)*Settings!$B$8+Settings!$B$9,2),0)</f>
        <v>0</v>
      </c>
      <c r="I105" s="20" t="str">
        <f aca="false">IF(A105="","",E105+F105-H105)</f>
        <v/>
      </c>
      <c r="J105" s="21" t="str">
        <f aca="false">IF(A105="","",MONTH(A105))</f>
        <v/>
      </c>
    </row>
    <row r="106" customFormat="false" ht="15" hidden="false" customHeight="false" outlineLevel="0" collapsed="false">
      <c r="A106" s="19"/>
      <c r="B106" s="7"/>
      <c r="C106" s="7"/>
      <c r="D106" s="7"/>
      <c r="E106" s="17"/>
      <c r="F106" s="17"/>
      <c r="G106" s="7"/>
      <c r="H106" s="20" t="n">
        <f aca="false">IF(G106="Card",ROUND((E106+F106)*Settings!$B$8+Settings!$B$9,2),0)</f>
        <v>0</v>
      </c>
      <c r="I106" s="20" t="str">
        <f aca="false">IF(A106="","",E106+F106-H106)</f>
        <v/>
      </c>
      <c r="J106" s="21" t="str">
        <f aca="false">IF(A106="","",MONTH(A106))</f>
        <v/>
      </c>
    </row>
    <row r="107" customFormat="false" ht="15" hidden="false" customHeight="false" outlineLevel="0" collapsed="false">
      <c r="A107" s="19"/>
      <c r="B107" s="7"/>
      <c r="C107" s="7"/>
      <c r="D107" s="7"/>
      <c r="E107" s="17"/>
      <c r="F107" s="17"/>
      <c r="G107" s="7"/>
      <c r="H107" s="20" t="n">
        <f aca="false">IF(G107="Card",ROUND((E107+F107)*Settings!$B$8+Settings!$B$9,2),0)</f>
        <v>0</v>
      </c>
      <c r="I107" s="20" t="str">
        <f aca="false">IF(A107="","",E107+F107-H107)</f>
        <v/>
      </c>
      <c r="J107" s="21" t="str">
        <f aca="false">IF(A107="","",MONTH(A107))</f>
        <v/>
      </c>
    </row>
    <row r="108" customFormat="false" ht="15" hidden="false" customHeight="false" outlineLevel="0" collapsed="false">
      <c r="A108" s="19"/>
      <c r="B108" s="7"/>
      <c r="C108" s="7"/>
      <c r="D108" s="7"/>
      <c r="E108" s="17"/>
      <c r="F108" s="17"/>
      <c r="G108" s="7"/>
      <c r="H108" s="20" t="n">
        <f aca="false">IF(G108="Card",ROUND((E108+F108)*Settings!$B$8+Settings!$B$9,2),0)</f>
        <v>0</v>
      </c>
      <c r="I108" s="20" t="str">
        <f aca="false">IF(A108="","",E108+F108-H108)</f>
        <v/>
      </c>
      <c r="J108" s="21" t="str">
        <f aca="false">IF(A108="","",MONTH(A108))</f>
        <v/>
      </c>
    </row>
    <row r="109" customFormat="false" ht="15" hidden="false" customHeight="false" outlineLevel="0" collapsed="false">
      <c r="A109" s="19"/>
      <c r="B109" s="7"/>
      <c r="C109" s="7"/>
      <c r="D109" s="7"/>
      <c r="E109" s="17"/>
      <c r="F109" s="17"/>
      <c r="G109" s="7"/>
      <c r="H109" s="20" t="n">
        <f aca="false">IF(G109="Card",ROUND((E109+F109)*Settings!$B$8+Settings!$B$9,2),0)</f>
        <v>0</v>
      </c>
      <c r="I109" s="20" t="str">
        <f aca="false">IF(A109="","",E109+F109-H109)</f>
        <v/>
      </c>
      <c r="J109" s="21" t="str">
        <f aca="false">IF(A109="","",MONTH(A109))</f>
        <v/>
      </c>
    </row>
    <row r="110" customFormat="false" ht="15" hidden="false" customHeight="false" outlineLevel="0" collapsed="false">
      <c r="A110" s="19"/>
      <c r="B110" s="7"/>
      <c r="C110" s="7"/>
      <c r="D110" s="7"/>
      <c r="E110" s="17"/>
      <c r="F110" s="17"/>
      <c r="G110" s="7"/>
      <c r="H110" s="20" t="n">
        <f aca="false">IF(G110="Card",ROUND((E110+F110)*Settings!$B$8+Settings!$B$9,2),0)</f>
        <v>0</v>
      </c>
      <c r="I110" s="20" t="str">
        <f aca="false">IF(A110="","",E110+F110-H110)</f>
        <v/>
      </c>
      <c r="J110" s="21" t="str">
        <f aca="false">IF(A110="","",MONTH(A110))</f>
        <v/>
      </c>
    </row>
    <row r="111" customFormat="false" ht="15" hidden="false" customHeight="false" outlineLevel="0" collapsed="false">
      <c r="A111" s="19"/>
      <c r="B111" s="7"/>
      <c r="C111" s="7"/>
      <c r="D111" s="7"/>
      <c r="E111" s="17"/>
      <c r="F111" s="17"/>
      <c r="G111" s="7"/>
      <c r="H111" s="20" t="n">
        <f aca="false">IF(G111="Card",ROUND((E111+F111)*Settings!$B$8+Settings!$B$9,2),0)</f>
        <v>0</v>
      </c>
      <c r="I111" s="20" t="str">
        <f aca="false">IF(A111="","",E111+F111-H111)</f>
        <v/>
      </c>
      <c r="J111" s="21" t="str">
        <f aca="false">IF(A111="","",MONTH(A111))</f>
        <v/>
      </c>
    </row>
    <row r="112" customFormat="false" ht="15" hidden="false" customHeight="false" outlineLevel="0" collapsed="false">
      <c r="A112" s="19"/>
      <c r="B112" s="7"/>
      <c r="C112" s="7"/>
      <c r="D112" s="7"/>
      <c r="E112" s="17"/>
      <c r="F112" s="17"/>
      <c r="G112" s="7"/>
      <c r="H112" s="20" t="n">
        <f aca="false">IF(G112="Card",ROUND((E112+F112)*Settings!$B$8+Settings!$B$9,2),0)</f>
        <v>0</v>
      </c>
      <c r="I112" s="20" t="str">
        <f aca="false">IF(A112="","",E112+F112-H112)</f>
        <v/>
      </c>
      <c r="J112" s="21" t="str">
        <f aca="false">IF(A112="","",MONTH(A112))</f>
        <v/>
      </c>
    </row>
    <row r="113" customFormat="false" ht="15" hidden="false" customHeight="false" outlineLevel="0" collapsed="false">
      <c r="A113" s="19"/>
      <c r="B113" s="7"/>
      <c r="C113" s="7"/>
      <c r="D113" s="7"/>
      <c r="E113" s="17"/>
      <c r="F113" s="17"/>
      <c r="G113" s="7"/>
      <c r="H113" s="20" t="n">
        <f aca="false">IF(G113="Card",ROUND((E113+F113)*Settings!$B$8+Settings!$B$9,2),0)</f>
        <v>0</v>
      </c>
      <c r="I113" s="20" t="str">
        <f aca="false">IF(A113="","",E113+F113-H113)</f>
        <v/>
      </c>
      <c r="J113" s="21" t="str">
        <f aca="false">IF(A113="","",MONTH(A113))</f>
        <v/>
      </c>
    </row>
    <row r="114" customFormat="false" ht="15" hidden="false" customHeight="false" outlineLevel="0" collapsed="false">
      <c r="A114" s="19"/>
      <c r="B114" s="7"/>
      <c r="C114" s="7"/>
      <c r="D114" s="7"/>
      <c r="E114" s="17"/>
      <c r="F114" s="17"/>
      <c r="G114" s="7"/>
      <c r="H114" s="20" t="n">
        <f aca="false">IF(G114="Card",ROUND((E114+F114)*Settings!$B$8+Settings!$B$9,2),0)</f>
        <v>0</v>
      </c>
      <c r="I114" s="20" t="str">
        <f aca="false">IF(A114="","",E114+F114-H114)</f>
        <v/>
      </c>
      <c r="J114" s="21" t="str">
        <f aca="false">IF(A114="","",MONTH(A114))</f>
        <v/>
      </c>
    </row>
    <row r="115" customFormat="false" ht="15" hidden="false" customHeight="false" outlineLevel="0" collapsed="false">
      <c r="A115" s="19"/>
      <c r="B115" s="7"/>
      <c r="C115" s="7"/>
      <c r="D115" s="7"/>
      <c r="E115" s="17"/>
      <c r="F115" s="17"/>
      <c r="G115" s="7"/>
      <c r="H115" s="20" t="n">
        <f aca="false">IF(G115="Card",ROUND((E115+F115)*Settings!$B$8+Settings!$B$9,2),0)</f>
        <v>0</v>
      </c>
      <c r="I115" s="20" t="str">
        <f aca="false">IF(A115="","",E115+F115-H115)</f>
        <v/>
      </c>
      <c r="J115" s="21" t="str">
        <f aca="false">IF(A115="","",MONTH(A115))</f>
        <v/>
      </c>
    </row>
    <row r="116" customFormat="false" ht="15" hidden="false" customHeight="false" outlineLevel="0" collapsed="false">
      <c r="A116" s="19"/>
      <c r="B116" s="7"/>
      <c r="C116" s="7"/>
      <c r="D116" s="7"/>
      <c r="E116" s="17"/>
      <c r="F116" s="17"/>
      <c r="G116" s="7"/>
      <c r="H116" s="20" t="n">
        <f aca="false">IF(G116="Card",ROUND((E116+F116)*Settings!$B$8+Settings!$B$9,2),0)</f>
        <v>0</v>
      </c>
      <c r="I116" s="20" t="str">
        <f aca="false">IF(A116="","",E116+F116-H116)</f>
        <v/>
      </c>
      <c r="J116" s="21" t="str">
        <f aca="false">IF(A116="","",MONTH(A116))</f>
        <v/>
      </c>
    </row>
    <row r="117" customFormat="false" ht="15" hidden="false" customHeight="false" outlineLevel="0" collapsed="false">
      <c r="A117" s="19"/>
      <c r="B117" s="7"/>
      <c r="C117" s="7"/>
      <c r="D117" s="7"/>
      <c r="E117" s="17"/>
      <c r="F117" s="17"/>
      <c r="G117" s="7"/>
      <c r="H117" s="20" t="n">
        <f aca="false">IF(G117="Card",ROUND((E117+F117)*Settings!$B$8+Settings!$B$9,2),0)</f>
        <v>0</v>
      </c>
      <c r="I117" s="20" t="str">
        <f aca="false">IF(A117="","",E117+F117-H117)</f>
        <v/>
      </c>
      <c r="J117" s="21" t="str">
        <f aca="false">IF(A117="","",MONTH(A117))</f>
        <v/>
      </c>
    </row>
    <row r="118" customFormat="false" ht="15" hidden="false" customHeight="false" outlineLevel="0" collapsed="false">
      <c r="A118" s="19"/>
      <c r="B118" s="7"/>
      <c r="C118" s="7"/>
      <c r="D118" s="7"/>
      <c r="E118" s="17"/>
      <c r="F118" s="17"/>
      <c r="G118" s="7"/>
      <c r="H118" s="20" t="n">
        <f aca="false">IF(G118="Card",ROUND((E118+F118)*Settings!$B$8+Settings!$B$9,2),0)</f>
        <v>0</v>
      </c>
      <c r="I118" s="20" t="str">
        <f aca="false">IF(A118="","",E118+F118-H118)</f>
        <v/>
      </c>
      <c r="J118" s="21" t="str">
        <f aca="false">IF(A118="","",MONTH(A118))</f>
        <v/>
      </c>
    </row>
    <row r="119" customFormat="false" ht="15" hidden="false" customHeight="false" outlineLevel="0" collapsed="false">
      <c r="A119" s="19"/>
      <c r="B119" s="7"/>
      <c r="C119" s="7"/>
      <c r="D119" s="7"/>
      <c r="E119" s="17"/>
      <c r="F119" s="17"/>
      <c r="G119" s="7"/>
      <c r="H119" s="20" t="n">
        <f aca="false">IF(G119="Card",ROUND((E119+F119)*Settings!$B$8+Settings!$B$9,2),0)</f>
        <v>0</v>
      </c>
      <c r="I119" s="20" t="str">
        <f aca="false">IF(A119="","",E119+F119-H119)</f>
        <v/>
      </c>
      <c r="J119" s="21" t="str">
        <f aca="false">IF(A119="","",MONTH(A119))</f>
        <v/>
      </c>
    </row>
    <row r="120" customFormat="false" ht="15" hidden="false" customHeight="false" outlineLevel="0" collapsed="false">
      <c r="A120" s="19"/>
      <c r="B120" s="7"/>
      <c r="C120" s="7"/>
      <c r="D120" s="7"/>
      <c r="E120" s="17"/>
      <c r="F120" s="17"/>
      <c r="G120" s="7"/>
      <c r="H120" s="20" t="n">
        <f aca="false">IF(G120="Card",ROUND((E120+F120)*Settings!$B$8+Settings!$B$9,2),0)</f>
        <v>0</v>
      </c>
      <c r="I120" s="20" t="str">
        <f aca="false">IF(A120="","",E120+F120-H120)</f>
        <v/>
      </c>
      <c r="J120" s="21" t="str">
        <f aca="false">IF(A120="","",MONTH(A120))</f>
        <v/>
      </c>
    </row>
    <row r="121" customFormat="false" ht="15" hidden="false" customHeight="false" outlineLevel="0" collapsed="false">
      <c r="A121" s="19"/>
      <c r="B121" s="7"/>
      <c r="C121" s="7"/>
      <c r="D121" s="7"/>
      <c r="E121" s="17"/>
      <c r="F121" s="17"/>
      <c r="G121" s="7"/>
      <c r="H121" s="20" t="n">
        <f aca="false">IF(G121="Card",ROUND((E121+F121)*Settings!$B$8+Settings!$B$9,2),0)</f>
        <v>0</v>
      </c>
      <c r="I121" s="20" t="str">
        <f aca="false">IF(A121="","",E121+F121-H121)</f>
        <v/>
      </c>
      <c r="J121" s="21" t="str">
        <f aca="false">IF(A121="","",MONTH(A121))</f>
        <v/>
      </c>
    </row>
    <row r="122" customFormat="false" ht="15" hidden="false" customHeight="false" outlineLevel="0" collapsed="false">
      <c r="A122" s="19"/>
      <c r="B122" s="7"/>
      <c r="C122" s="7"/>
      <c r="D122" s="7"/>
      <c r="E122" s="17"/>
      <c r="F122" s="17"/>
      <c r="G122" s="7"/>
      <c r="H122" s="20" t="n">
        <f aca="false">IF(G122="Card",ROUND((E122+F122)*Settings!$B$8+Settings!$B$9,2),0)</f>
        <v>0</v>
      </c>
      <c r="I122" s="20" t="str">
        <f aca="false">IF(A122="","",E122+F122-H122)</f>
        <v/>
      </c>
      <c r="J122" s="21" t="str">
        <f aca="false">IF(A122="","",MONTH(A122))</f>
        <v/>
      </c>
    </row>
    <row r="123" customFormat="false" ht="15" hidden="false" customHeight="false" outlineLevel="0" collapsed="false">
      <c r="A123" s="19"/>
      <c r="B123" s="7"/>
      <c r="C123" s="7"/>
      <c r="D123" s="7"/>
      <c r="E123" s="17"/>
      <c r="F123" s="17"/>
      <c r="G123" s="7"/>
      <c r="H123" s="20" t="n">
        <f aca="false">IF(G123="Card",ROUND((E123+F123)*Settings!$B$8+Settings!$B$9,2),0)</f>
        <v>0</v>
      </c>
      <c r="I123" s="20" t="str">
        <f aca="false">IF(A123="","",E123+F123-H123)</f>
        <v/>
      </c>
      <c r="J123" s="21" t="str">
        <f aca="false">IF(A123="","",MONTH(A123))</f>
        <v/>
      </c>
    </row>
    <row r="124" customFormat="false" ht="15" hidden="false" customHeight="false" outlineLevel="0" collapsed="false">
      <c r="A124" s="19"/>
      <c r="B124" s="7"/>
      <c r="C124" s="7"/>
      <c r="D124" s="7"/>
      <c r="E124" s="17"/>
      <c r="F124" s="17"/>
      <c r="G124" s="7"/>
      <c r="H124" s="20" t="n">
        <f aca="false">IF(G124="Card",ROUND((E124+F124)*Settings!$B$8+Settings!$B$9,2),0)</f>
        <v>0</v>
      </c>
      <c r="I124" s="20" t="str">
        <f aca="false">IF(A124="","",E124+F124-H124)</f>
        <v/>
      </c>
      <c r="J124" s="21" t="str">
        <f aca="false">IF(A124="","",MONTH(A124))</f>
        <v/>
      </c>
    </row>
    <row r="125" customFormat="false" ht="15" hidden="false" customHeight="false" outlineLevel="0" collapsed="false">
      <c r="A125" s="19"/>
      <c r="B125" s="7"/>
      <c r="C125" s="7"/>
      <c r="D125" s="7"/>
      <c r="E125" s="17"/>
      <c r="F125" s="17"/>
      <c r="G125" s="7"/>
      <c r="H125" s="20" t="n">
        <f aca="false">IF(G125="Card",ROUND((E125+F125)*Settings!$B$8+Settings!$B$9,2),0)</f>
        <v>0</v>
      </c>
      <c r="I125" s="20" t="str">
        <f aca="false">IF(A125="","",E125+F125-H125)</f>
        <v/>
      </c>
      <c r="J125" s="21" t="str">
        <f aca="false">IF(A125="","",MONTH(A125))</f>
        <v/>
      </c>
    </row>
    <row r="126" customFormat="false" ht="15" hidden="false" customHeight="false" outlineLevel="0" collapsed="false">
      <c r="A126" s="19"/>
      <c r="B126" s="7"/>
      <c r="C126" s="7"/>
      <c r="D126" s="7"/>
      <c r="E126" s="17"/>
      <c r="F126" s="17"/>
      <c r="G126" s="7"/>
      <c r="H126" s="20" t="n">
        <f aca="false">IF(G126="Card",ROUND((E126+F126)*Settings!$B$8+Settings!$B$9,2),0)</f>
        <v>0</v>
      </c>
      <c r="I126" s="20" t="str">
        <f aca="false">IF(A126="","",E126+F126-H126)</f>
        <v/>
      </c>
      <c r="J126" s="21" t="str">
        <f aca="false">IF(A126="","",MONTH(A126))</f>
        <v/>
      </c>
    </row>
    <row r="127" customFormat="false" ht="15" hidden="false" customHeight="false" outlineLevel="0" collapsed="false">
      <c r="A127" s="19"/>
      <c r="B127" s="7"/>
      <c r="C127" s="7"/>
      <c r="D127" s="7"/>
      <c r="E127" s="17"/>
      <c r="F127" s="17"/>
      <c r="G127" s="7"/>
      <c r="H127" s="20" t="n">
        <f aca="false">IF(G127="Card",ROUND((E127+F127)*Settings!$B$8+Settings!$B$9,2),0)</f>
        <v>0</v>
      </c>
      <c r="I127" s="20" t="str">
        <f aca="false">IF(A127="","",E127+F127-H127)</f>
        <v/>
      </c>
      <c r="J127" s="21" t="str">
        <f aca="false">IF(A127="","",MONTH(A127))</f>
        <v/>
      </c>
    </row>
    <row r="128" customFormat="false" ht="15" hidden="false" customHeight="false" outlineLevel="0" collapsed="false">
      <c r="A128" s="19"/>
      <c r="B128" s="7"/>
      <c r="C128" s="7"/>
      <c r="D128" s="7"/>
      <c r="E128" s="17"/>
      <c r="F128" s="17"/>
      <c r="G128" s="7"/>
      <c r="H128" s="20" t="n">
        <f aca="false">IF(G128="Card",ROUND((E128+F128)*Settings!$B$8+Settings!$B$9,2),0)</f>
        <v>0</v>
      </c>
      <c r="I128" s="20" t="str">
        <f aca="false">IF(A128="","",E128+F128-H128)</f>
        <v/>
      </c>
      <c r="J128" s="21" t="str">
        <f aca="false">IF(A128="","",MONTH(A128))</f>
        <v/>
      </c>
    </row>
    <row r="129" customFormat="false" ht="15" hidden="false" customHeight="false" outlineLevel="0" collapsed="false">
      <c r="A129" s="19"/>
      <c r="B129" s="7"/>
      <c r="C129" s="7"/>
      <c r="D129" s="7"/>
      <c r="E129" s="17"/>
      <c r="F129" s="17"/>
      <c r="G129" s="7"/>
      <c r="H129" s="20" t="n">
        <f aca="false">IF(G129="Card",ROUND((E129+F129)*Settings!$B$8+Settings!$B$9,2),0)</f>
        <v>0</v>
      </c>
      <c r="I129" s="20" t="str">
        <f aca="false">IF(A129="","",E129+F129-H129)</f>
        <v/>
      </c>
      <c r="J129" s="21" t="str">
        <f aca="false">IF(A129="","",MONTH(A129))</f>
        <v/>
      </c>
    </row>
    <row r="130" customFormat="false" ht="15" hidden="false" customHeight="false" outlineLevel="0" collapsed="false">
      <c r="A130" s="19"/>
      <c r="B130" s="7"/>
      <c r="C130" s="7"/>
      <c r="D130" s="7"/>
      <c r="E130" s="17"/>
      <c r="F130" s="17"/>
      <c r="G130" s="7"/>
      <c r="H130" s="20" t="n">
        <f aca="false">IF(G130="Card",ROUND((E130+F130)*Settings!$B$8+Settings!$B$9,2),0)</f>
        <v>0</v>
      </c>
      <c r="I130" s="20" t="str">
        <f aca="false">IF(A130="","",E130+F130-H130)</f>
        <v/>
      </c>
      <c r="J130" s="21" t="str">
        <f aca="false">IF(A130="","",MONTH(A130))</f>
        <v/>
      </c>
    </row>
    <row r="131" customFormat="false" ht="15" hidden="false" customHeight="false" outlineLevel="0" collapsed="false">
      <c r="A131" s="19"/>
      <c r="B131" s="7"/>
      <c r="C131" s="7"/>
      <c r="D131" s="7"/>
      <c r="E131" s="17"/>
      <c r="F131" s="17"/>
      <c r="G131" s="7"/>
      <c r="H131" s="20" t="n">
        <f aca="false">IF(G131="Card",ROUND((E131+F131)*Settings!$B$8+Settings!$B$9,2),0)</f>
        <v>0</v>
      </c>
      <c r="I131" s="20" t="str">
        <f aca="false">IF(A131="","",E131+F131-H131)</f>
        <v/>
      </c>
      <c r="J131" s="21" t="str">
        <f aca="false">IF(A131="","",MONTH(A131))</f>
        <v/>
      </c>
    </row>
    <row r="132" customFormat="false" ht="15" hidden="false" customHeight="false" outlineLevel="0" collapsed="false">
      <c r="A132" s="19"/>
      <c r="B132" s="7"/>
      <c r="C132" s="7"/>
      <c r="D132" s="7"/>
      <c r="E132" s="17"/>
      <c r="F132" s="17"/>
      <c r="G132" s="7"/>
      <c r="H132" s="20" t="n">
        <f aca="false">IF(G132="Card",ROUND((E132+F132)*Settings!$B$8+Settings!$B$9,2),0)</f>
        <v>0</v>
      </c>
      <c r="I132" s="20" t="str">
        <f aca="false">IF(A132="","",E132+F132-H132)</f>
        <v/>
      </c>
      <c r="J132" s="21" t="str">
        <f aca="false">IF(A132="","",MONTH(A132))</f>
        <v/>
      </c>
    </row>
    <row r="133" customFormat="false" ht="15" hidden="false" customHeight="false" outlineLevel="0" collapsed="false">
      <c r="A133" s="19"/>
      <c r="B133" s="7"/>
      <c r="C133" s="7"/>
      <c r="D133" s="7"/>
      <c r="E133" s="17"/>
      <c r="F133" s="17"/>
      <c r="G133" s="7"/>
      <c r="H133" s="20" t="n">
        <f aca="false">IF(G133="Card",ROUND((E133+F133)*Settings!$B$8+Settings!$B$9,2),0)</f>
        <v>0</v>
      </c>
      <c r="I133" s="20" t="str">
        <f aca="false">IF(A133="","",E133+F133-H133)</f>
        <v/>
      </c>
      <c r="J133" s="21" t="str">
        <f aca="false">IF(A133="","",MONTH(A133))</f>
        <v/>
      </c>
    </row>
    <row r="134" customFormat="false" ht="15" hidden="false" customHeight="false" outlineLevel="0" collapsed="false">
      <c r="A134" s="19"/>
      <c r="B134" s="7"/>
      <c r="C134" s="7"/>
      <c r="D134" s="7"/>
      <c r="E134" s="17"/>
      <c r="F134" s="17"/>
      <c r="G134" s="7"/>
      <c r="H134" s="20" t="n">
        <f aca="false">IF(G134="Card",ROUND((E134+F134)*Settings!$B$8+Settings!$B$9,2),0)</f>
        <v>0</v>
      </c>
      <c r="I134" s="20" t="str">
        <f aca="false">IF(A134="","",E134+F134-H134)</f>
        <v/>
      </c>
      <c r="J134" s="21" t="str">
        <f aca="false">IF(A134="","",MONTH(A134))</f>
        <v/>
      </c>
    </row>
    <row r="135" customFormat="false" ht="15" hidden="false" customHeight="false" outlineLevel="0" collapsed="false">
      <c r="A135" s="19"/>
      <c r="B135" s="7"/>
      <c r="C135" s="7"/>
      <c r="D135" s="7"/>
      <c r="E135" s="17"/>
      <c r="F135" s="17"/>
      <c r="G135" s="7"/>
      <c r="H135" s="20" t="n">
        <f aca="false">IF(G135="Card",ROUND((E135+F135)*Settings!$B$8+Settings!$B$9,2),0)</f>
        <v>0</v>
      </c>
      <c r="I135" s="20" t="str">
        <f aca="false">IF(A135="","",E135+F135-H135)</f>
        <v/>
      </c>
      <c r="J135" s="21" t="str">
        <f aca="false">IF(A135="","",MONTH(A135))</f>
        <v/>
      </c>
    </row>
    <row r="136" customFormat="false" ht="15" hidden="false" customHeight="false" outlineLevel="0" collapsed="false">
      <c r="A136" s="19"/>
      <c r="B136" s="7"/>
      <c r="C136" s="7"/>
      <c r="D136" s="7"/>
      <c r="E136" s="17"/>
      <c r="F136" s="17"/>
      <c r="G136" s="7"/>
      <c r="H136" s="20" t="n">
        <f aca="false">IF(G136="Card",ROUND((E136+F136)*Settings!$B$8+Settings!$B$9,2),0)</f>
        <v>0</v>
      </c>
      <c r="I136" s="20" t="str">
        <f aca="false">IF(A136="","",E136+F136-H136)</f>
        <v/>
      </c>
      <c r="J136" s="21" t="str">
        <f aca="false">IF(A136="","",MONTH(A136))</f>
        <v/>
      </c>
    </row>
    <row r="137" customFormat="false" ht="15" hidden="false" customHeight="false" outlineLevel="0" collapsed="false">
      <c r="A137" s="19"/>
      <c r="B137" s="7"/>
      <c r="C137" s="7"/>
      <c r="D137" s="7"/>
      <c r="E137" s="17"/>
      <c r="F137" s="17"/>
      <c r="G137" s="7"/>
      <c r="H137" s="20" t="n">
        <f aca="false">IF(G137="Card",ROUND((E137+F137)*Settings!$B$8+Settings!$B$9,2),0)</f>
        <v>0</v>
      </c>
      <c r="I137" s="20" t="str">
        <f aca="false">IF(A137="","",E137+F137-H137)</f>
        <v/>
      </c>
      <c r="J137" s="21" t="str">
        <f aca="false">IF(A137="","",MONTH(A137))</f>
        <v/>
      </c>
    </row>
    <row r="138" customFormat="false" ht="15" hidden="false" customHeight="false" outlineLevel="0" collapsed="false">
      <c r="A138" s="19"/>
      <c r="B138" s="7"/>
      <c r="C138" s="7"/>
      <c r="D138" s="7"/>
      <c r="E138" s="17"/>
      <c r="F138" s="17"/>
      <c r="G138" s="7"/>
      <c r="H138" s="20" t="n">
        <f aca="false">IF(G138="Card",ROUND((E138+F138)*Settings!$B$8+Settings!$B$9,2),0)</f>
        <v>0</v>
      </c>
      <c r="I138" s="20" t="str">
        <f aca="false">IF(A138="","",E138+F138-H138)</f>
        <v/>
      </c>
      <c r="J138" s="21" t="str">
        <f aca="false">IF(A138="","",MONTH(A138))</f>
        <v/>
      </c>
    </row>
    <row r="139" customFormat="false" ht="15" hidden="false" customHeight="false" outlineLevel="0" collapsed="false">
      <c r="A139" s="19"/>
      <c r="B139" s="7"/>
      <c r="C139" s="7"/>
      <c r="D139" s="7"/>
      <c r="E139" s="17"/>
      <c r="F139" s="17"/>
      <c r="G139" s="7"/>
      <c r="H139" s="20" t="n">
        <f aca="false">IF(G139="Card",ROUND((E139+F139)*Settings!$B$8+Settings!$B$9,2),0)</f>
        <v>0</v>
      </c>
      <c r="I139" s="20" t="str">
        <f aca="false">IF(A139="","",E139+F139-H139)</f>
        <v/>
      </c>
      <c r="J139" s="21" t="str">
        <f aca="false">IF(A139="","",MONTH(A139))</f>
        <v/>
      </c>
    </row>
    <row r="140" customFormat="false" ht="15" hidden="false" customHeight="false" outlineLevel="0" collapsed="false">
      <c r="A140" s="19"/>
      <c r="B140" s="7"/>
      <c r="C140" s="7"/>
      <c r="D140" s="7"/>
      <c r="E140" s="17"/>
      <c r="F140" s="17"/>
      <c r="G140" s="7"/>
      <c r="H140" s="20" t="n">
        <f aca="false">IF(G140="Card",ROUND((E140+F140)*Settings!$B$8+Settings!$B$9,2),0)</f>
        <v>0</v>
      </c>
      <c r="I140" s="20" t="str">
        <f aca="false">IF(A140="","",E140+F140-H140)</f>
        <v/>
      </c>
      <c r="J140" s="21" t="str">
        <f aca="false">IF(A140="","",MONTH(A140))</f>
        <v/>
      </c>
    </row>
    <row r="141" customFormat="false" ht="15" hidden="false" customHeight="false" outlineLevel="0" collapsed="false">
      <c r="A141" s="19"/>
      <c r="B141" s="7"/>
      <c r="C141" s="7"/>
      <c r="D141" s="7"/>
      <c r="E141" s="17"/>
      <c r="F141" s="17"/>
      <c r="G141" s="7"/>
      <c r="H141" s="20" t="n">
        <f aca="false">IF(G141="Card",ROUND((E141+F141)*Settings!$B$8+Settings!$B$9,2),0)</f>
        <v>0</v>
      </c>
      <c r="I141" s="20" t="str">
        <f aca="false">IF(A141="","",E141+F141-H141)</f>
        <v/>
      </c>
      <c r="J141" s="21" t="str">
        <f aca="false">IF(A141="","",MONTH(A141))</f>
        <v/>
      </c>
    </row>
    <row r="142" customFormat="false" ht="15" hidden="false" customHeight="false" outlineLevel="0" collapsed="false">
      <c r="A142" s="19"/>
      <c r="B142" s="7"/>
      <c r="C142" s="7"/>
      <c r="D142" s="7"/>
      <c r="E142" s="17"/>
      <c r="F142" s="17"/>
      <c r="G142" s="7"/>
      <c r="H142" s="20" t="n">
        <f aca="false">IF(G142="Card",ROUND((E142+F142)*Settings!$B$8+Settings!$B$9,2),0)</f>
        <v>0</v>
      </c>
      <c r="I142" s="20" t="str">
        <f aca="false">IF(A142="","",E142+F142-H142)</f>
        <v/>
      </c>
      <c r="J142" s="21" t="str">
        <f aca="false">IF(A142="","",MONTH(A142))</f>
        <v/>
      </c>
    </row>
    <row r="143" customFormat="false" ht="15" hidden="false" customHeight="false" outlineLevel="0" collapsed="false">
      <c r="A143" s="19"/>
      <c r="B143" s="7"/>
      <c r="C143" s="7"/>
      <c r="D143" s="7"/>
      <c r="E143" s="17"/>
      <c r="F143" s="17"/>
      <c r="G143" s="7"/>
      <c r="H143" s="20" t="n">
        <f aca="false">IF(G143="Card",ROUND((E143+F143)*Settings!$B$8+Settings!$B$9,2),0)</f>
        <v>0</v>
      </c>
      <c r="I143" s="20" t="str">
        <f aca="false">IF(A143="","",E143+F143-H143)</f>
        <v/>
      </c>
      <c r="J143" s="21" t="str">
        <f aca="false">IF(A143="","",MONTH(A143))</f>
        <v/>
      </c>
    </row>
    <row r="144" customFormat="false" ht="15" hidden="false" customHeight="false" outlineLevel="0" collapsed="false">
      <c r="A144" s="19"/>
      <c r="B144" s="7"/>
      <c r="C144" s="7"/>
      <c r="D144" s="7"/>
      <c r="E144" s="17"/>
      <c r="F144" s="17"/>
      <c r="G144" s="7"/>
      <c r="H144" s="20" t="n">
        <f aca="false">IF(G144="Card",ROUND((E144+F144)*Settings!$B$8+Settings!$B$9,2),0)</f>
        <v>0</v>
      </c>
      <c r="I144" s="20" t="str">
        <f aca="false">IF(A144="","",E144+F144-H144)</f>
        <v/>
      </c>
      <c r="J144" s="21" t="str">
        <f aca="false">IF(A144="","",MONTH(A144))</f>
        <v/>
      </c>
    </row>
    <row r="145" customFormat="false" ht="15" hidden="false" customHeight="false" outlineLevel="0" collapsed="false">
      <c r="A145" s="19"/>
      <c r="B145" s="7"/>
      <c r="C145" s="7"/>
      <c r="D145" s="7"/>
      <c r="E145" s="17"/>
      <c r="F145" s="17"/>
      <c r="G145" s="7"/>
      <c r="H145" s="20" t="n">
        <f aca="false">IF(G145="Card",ROUND((E145+F145)*Settings!$B$8+Settings!$B$9,2),0)</f>
        <v>0</v>
      </c>
      <c r="I145" s="20" t="str">
        <f aca="false">IF(A145="","",E145+F145-H145)</f>
        <v/>
      </c>
      <c r="J145" s="21" t="str">
        <f aca="false">IF(A145="","",MONTH(A145))</f>
        <v/>
      </c>
    </row>
    <row r="146" customFormat="false" ht="15" hidden="false" customHeight="false" outlineLevel="0" collapsed="false">
      <c r="A146" s="19"/>
      <c r="B146" s="7"/>
      <c r="C146" s="7"/>
      <c r="D146" s="7"/>
      <c r="E146" s="17"/>
      <c r="F146" s="17"/>
      <c r="G146" s="7"/>
      <c r="H146" s="20" t="n">
        <f aca="false">IF(G146="Card",ROUND((E146+F146)*Settings!$B$8+Settings!$B$9,2),0)</f>
        <v>0</v>
      </c>
      <c r="I146" s="20" t="str">
        <f aca="false">IF(A146="","",E146+F146-H146)</f>
        <v/>
      </c>
      <c r="J146" s="21" t="str">
        <f aca="false">IF(A146="","",MONTH(A146))</f>
        <v/>
      </c>
    </row>
    <row r="147" customFormat="false" ht="15" hidden="false" customHeight="false" outlineLevel="0" collapsed="false">
      <c r="A147" s="19"/>
      <c r="B147" s="7"/>
      <c r="C147" s="7"/>
      <c r="D147" s="7"/>
      <c r="E147" s="17"/>
      <c r="F147" s="17"/>
      <c r="G147" s="7"/>
      <c r="H147" s="20" t="n">
        <f aca="false">IF(G147="Card",ROUND((E147+F147)*Settings!$B$8+Settings!$B$9,2),0)</f>
        <v>0</v>
      </c>
      <c r="I147" s="20" t="str">
        <f aca="false">IF(A147="","",E147+F147-H147)</f>
        <v/>
      </c>
      <c r="J147" s="21" t="str">
        <f aca="false">IF(A147="","",MONTH(A147))</f>
        <v/>
      </c>
    </row>
    <row r="148" customFormat="false" ht="15" hidden="false" customHeight="false" outlineLevel="0" collapsed="false">
      <c r="A148" s="19"/>
      <c r="B148" s="7"/>
      <c r="C148" s="7"/>
      <c r="D148" s="7"/>
      <c r="E148" s="17"/>
      <c r="F148" s="17"/>
      <c r="G148" s="7"/>
      <c r="H148" s="20" t="n">
        <f aca="false">IF(G148="Card",ROUND((E148+F148)*Settings!$B$8+Settings!$B$9,2),0)</f>
        <v>0</v>
      </c>
      <c r="I148" s="20" t="str">
        <f aca="false">IF(A148="","",E148+F148-H148)</f>
        <v/>
      </c>
      <c r="J148" s="21" t="str">
        <f aca="false">IF(A148="","",MONTH(A148))</f>
        <v/>
      </c>
    </row>
    <row r="149" customFormat="false" ht="15" hidden="false" customHeight="false" outlineLevel="0" collapsed="false">
      <c r="A149" s="19"/>
      <c r="B149" s="7"/>
      <c r="C149" s="7"/>
      <c r="D149" s="7"/>
      <c r="E149" s="17"/>
      <c r="F149" s="17"/>
      <c r="G149" s="7"/>
      <c r="H149" s="20" t="n">
        <f aca="false">IF(G149="Card",ROUND((E149+F149)*Settings!$B$8+Settings!$B$9,2),0)</f>
        <v>0</v>
      </c>
      <c r="I149" s="20" t="str">
        <f aca="false">IF(A149="","",E149+F149-H149)</f>
        <v/>
      </c>
      <c r="J149" s="21" t="str">
        <f aca="false">IF(A149="","",MONTH(A149))</f>
        <v/>
      </c>
    </row>
    <row r="150" customFormat="false" ht="15" hidden="false" customHeight="false" outlineLevel="0" collapsed="false">
      <c r="A150" s="19"/>
      <c r="B150" s="7"/>
      <c r="C150" s="7"/>
      <c r="D150" s="7"/>
      <c r="E150" s="17"/>
      <c r="F150" s="17"/>
      <c r="G150" s="7"/>
      <c r="H150" s="20" t="n">
        <f aca="false">IF(G150="Card",ROUND((E150+F150)*Settings!$B$8+Settings!$B$9,2),0)</f>
        <v>0</v>
      </c>
      <c r="I150" s="20" t="str">
        <f aca="false">IF(A150="","",E150+F150-H150)</f>
        <v/>
      </c>
      <c r="J150" s="21" t="str">
        <f aca="false">IF(A150="","",MONTH(A150))</f>
        <v/>
      </c>
    </row>
    <row r="151" customFormat="false" ht="15" hidden="false" customHeight="false" outlineLevel="0" collapsed="false">
      <c r="A151" s="19"/>
      <c r="B151" s="7"/>
      <c r="C151" s="7"/>
      <c r="D151" s="7"/>
      <c r="E151" s="17"/>
      <c r="F151" s="17"/>
      <c r="G151" s="7"/>
      <c r="H151" s="20" t="n">
        <f aca="false">IF(G151="Card",ROUND((E151+F151)*Settings!$B$8+Settings!$B$9,2),0)</f>
        <v>0</v>
      </c>
      <c r="I151" s="20" t="str">
        <f aca="false">IF(A151="","",E151+F151-H151)</f>
        <v/>
      </c>
      <c r="J151" s="21" t="str">
        <f aca="false">IF(A151="","",MONTH(A151))</f>
        <v/>
      </c>
    </row>
    <row r="152" customFormat="false" ht="15" hidden="false" customHeight="false" outlineLevel="0" collapsed="false">
      <c r="A152" s="19"/>
      <c r="B152" s="7"/>
      <c r="C152" s="7"/>
      <c r="D152" s="7"/>
      <c r="E152" s="17"/>
      <c r="F152" s="17"/>
      <c r="G152" s="7"/>
      <c r="H152" s="20" t="n">
        <f aca="false">IF(G152="Card",ROUND((E152+F152)*Settings!$B$8+Settings!$B$9,2),0)</f>
        <v>0</v>
      </c>
      <c r="I152" s="20" t="str">
        <f aca="false">IF(A152="","",E152+F152-H152)</f>
        <v/>
      </c>
      <c r="J152" s="21" t="str">
        <f aca="false">IF(A152="","",MONTH(A152))</f>
        <v/>
      </c>
    </row>
    <row r="153" customFormat="false" ht="15" hidden="false" customHeight="false" outlineLevel="0" collapsed="false">
      <c r="A153" s="19"/>
      <c r="B153" s="7"/>
      <c r="C153" s="7"/>
      <c r="D153" s="7"/>
      <c r="E153" s="17"/>
      <c r="F153" s="17"/>
      <c r="G153" s="7"/>
      <c r="H153" s="20" t="n">
        <f aca="false">IF(G153="Card",ROUND((E153+F153)*Settings!$B$8+Settings!$B$9,2),0)</f>
        <v>0</v>
      </c>
      <c r="I153" s="20" t="str">
        <f aca="false">IF(A153="","",E153+F153-H153)</f>
        <v/>
      </c>
      <c r="J153" s="21" t="str">
        <f aca="false">IF(A153="","",MONTH(A153))</f>
        <v/>
      </c>
    </row>
    <row r="154" customFormat="false" ht="15" hidden="false" customHeight="false" outlineLevel="0" collapsed="false">
      <c r="A154" s="19"/>
      <c r="B154" s="7"/>
      <c r="C154" s="7"/>
      <c r="D154" s="7"/>
      <c r="E154" s="17"/>
      <c r="F154" s="17"/>
      <c r="G154" s="7"/>
      <c r="H154" s="20" t="n">
        <f aca="false">IF(G154="Card",ROUND((E154+F154)*Settings!$B$8+Settings!$B$9,2),0)</f>
        <v>0</v>
      </c>
      <c r="I154" s="20" t="str">
        <f aca="false">IF(A154="","",E154+F154-H154)</f>
        <v/>
      </c>
      <c r="J154" s="21" t="str">
        <f aca="false">IF(A154="","",MONTH(A154))</f>
        <v/>
      </c>
    </row>
    <row r="155" customFormat="false" ht="15" hidden="false" customHeight="false" outlineLevel="0" collapsed="false">
      <c r="A155" s="19"/>
      <c r="B155" s="7"/>
      <c r="C155" s="7"/>
      <c r="D155" s="7"/>
      <c r="E155" s="17"/>
      <c r="F155" s="17"/>
      <c r="G155" s="7"/>
      <c r="H155" s="20" t="n">
        <f aca="false">IF(G155="Card",ROUND((E155+F155)*Settings!$B$8+Settings!$B$9,2),0)</f>
        <v>0</v>
      </c>
      <c r="I155" s="20" t="str">
        <f aca="false">IF(A155="","",E155+F155-H155)</f>
        <v/>
      </c>
      <c r="J155" s="21" t="str">
        <f aca="false">IF(A155="","",MONTH(A155))</f>
        <v/>
      </c>
    </row>
    <row r="156" customFormat="false" ht="15" hidden="false" customHeight="false" outlineLevel="0" collapsed="false">
      <c r="A156" s="19"/>
      <c r="B156" s="7"/>
      <c r="C156" s="7"/>
      <c r="D156" s="7"/>
      <c r="E156" s="17"/>
      <c r="F156" s="17"/>
      <c r="G156" s="7"/>
      <c r="H156" s="20" t="n">
        <f aca="false">IF(G156="Card",ROUND((E156+F156)*Settings!$B$8+Settings!$B$9,2),0)</f>
        <v>0</v>
      </c>
      <c r="I156" s="20" t="str">
        <f aca="false">IF(A156="","",E156+F156-H156)</f>
        <v/>
      </c>
      <c r="J156" s="21" t="str">
        <f aca="false">IF(A156="","",MONTH(A156))</f>
        <v/>
      </c>
    </row>
    <row r="157" customFormat="false" ht="15" hidden="false" customHeight="false" outlineLevel="0" collapsed="false">
      <c r="A157" s="19"/>
      <c r="B157" s="7"/>
      <c r="C157" s="7"/>
      <c r="D157" s="7"/>
      <c r="E157" s="17"/>
      <c r="F157" s="17"/>
      <c r="G157" s="7"/>
      <c r="H157" s="20" t="n">
        <f aca="false">IF(G157="Card",ROUND((E157+F157)*Settings!$B$8+Settings!$B$9,2),0)</f>
        <v>0</v>
      </c>
      <c r="I157" s="20" t="str">
        <f aca="false">IF(A157="","",E157+F157-H157)</f>
        <v/>
      </c>
      <c r="J157" s="21" t="str">
        <f aca="false">IF(A157="","",MONTH(A157))</f>
        <v/>
      </c>
    </row>
    <row r="158" customFormat="false" ht="15" hidden="false" customHeight="false" outlineLevel="0" collapsed="false">
      <c r="A158" s="19"/>
      <c r="B158" s="7"/>
      <c r="C158" s="7"/>
      <c r="D158" s="7"/>
      <c r="E158" s="17"/>
      <c r="F158" s="17"/>
      <c r="G158" s="7"/>
      <c r="H158" s="20" t="n">
        <f aca="false">IF(G158="Card",ROUND((E158+F158)*Settings!$B$8+Settings!$B$9,2),0)</f>
        <v>0</v>
      </c>
      <c r="I158" s="20" t="str">
        <f aca="false">IF(A158="","",E158+F158-H158)</f>
        <v/>
      </c>
      <c r="J158" s="21" t="str">
        <f aca="false">IF(A158="","",MONTH(A158))</f>
        <v/>
      </c>
    </row>
    <row r="159" customFormat="false" ht="15" hidden="false" customHeight="false" outlineLevel="0" collapsed="false">
      <c r="A159" s="19"/>
      <c r="B159" s="7"/>
      <c r="C159" s="7"/>
      <c r="D159" s="7"/>
      <c r="E159" s="17"/>
      <c r="F159" s="17"/>
      <c r="G159" s="7"/>
      <c r="H159" s="20" t="n">
        <f aca="false">IF(G159="Card",ROUND((E159+F159)*Settings!$B$8+Settings!$B$9,2),0)</f>
        <v>0</v>
      </c>
      <c r="I159" s="20" t="str">
        <f aca="false">IF(A159="","",E159+F159-H159)</f>
        <v/>
      </c>
      <c r="J159" s="21" t="str">
        <f aca="false">IF(A159="","",MONTH(A159))</f>
        <v/>
      </c>
    </row>
    <row r="160" customFormat="false" ht="15" hidden="false" customHeight="false" outlineLevel="0" collapsed="false">
      <c r="A160" s="19"/>
      <c r="B160" s="7"/>
      <c r="C160" s="7"/>
      <c r="D160" s="7"/>
      <c r="E160" s="17"/>
      <c r="F160" s="17"/>
      <c r="G160" s="7"/>
      <c r="H160" s="20" t="n">
        <f aca="false">IF(G160="Card",ROUND((E160+F160)*Settings!$B$8+Settings!$B$9,2),0)</f>
        <v>0</v>
      </c>
      <c r="I160" s="20" t="str">
        <f aca="false">IF(A160="","",E160+F160-H160)</f>
        <v/>
      </c>
      <c r="J160" s="21" t="str">
        <f aca="false">IF(A160="","",MONTH(A160))</f>
        <v/>
      </c>
    </row>
    <row r="161" customFormat="false" ht="15" hidden="false" customHeight="false" outlineLevel="0" collapsed="false">
      <c r="A161" s="19"/>
      <c r="B161" s="7"/>
      <c r="C161" s="7"/>
      <c r="D161" s="7"/>
      <c r="E161" s="17"/>
      <c r="F161" s="17"/>
      <c r="G161" s="7"/>
      <c r="H161" s="20" t="n">
        <f aca="false">IF(G161="Card",ROUND((E161+F161)*Settings!$B$8+Settings!$B$9,2),0)</f>
        <v>0</v>
      </c>
      <c r="I161" s="20" t="str">
        <f aca="false">IF(A161="","",E161+F161-H161)</f>
        <v/>
      </c>
      <c r="J161" s="21" t="str">
        <f aca="false">IF(A161="","",MONTH(A161))</f>
        <v/>
      </c>
    </row>
    <row r="162" customFormat="false" ht="15" hidden="false" customHeight="false" outlineLevel="0" collapsed="false">
      <c r="A162" s="19"/>
      <c r="B162" s="7"/>
      <c r="C162" s="7"/>
      <c r="D162" s="7"/>
      <c r="E162" s="17"/>
      <c r="F162" s="17"/>
      <c r="G162" s="7"/>
      <c r="H162" s="20" t="n">
        <f aca="false">IF(G162="Card",ROUND((E162+F162)*Settings!$B$8+Settings!$B$9,2),0)</f>
        <v>0</v>
      </c>
      <c r="I162" s="20" t="str">
        <f aca="false">IF(A162="","",E162+F162-H162)</f>
        <v/>
      </c>
      <c r="J162" s="21" t="str">
        <f aca="false">IF(A162="","",MONTH(A162))</f>
        <v/>
      </c>
    </row>
    <row r="163" customFormat="false" ht="15" hidden="false" customHeight="false" outlineLevel="0" collapsed="false">
      <c r="A163" s="19"/>
      <c r="B163" s="7"/>
      <c r="C163" s="7"/>
      <c r="D163" s="7"/>
      <c r="E163" s="17"/>
      <c r="F163" s="17"/>
      <c r="G163" s="7"/>
      <c r="H163" s="20" t="n">
        <f aca="false">IF(G163="Card",ROUND((E163+F163)*Settings!$B$8+Settings!$B$9,2),0)</f>
        <v>0</v>
      </c>
      <c r="I163" s="20" t="str">
        <f aca="false">IF(A163="","",E163+F163-H163)</f>
        <v/>
      </c>
      <c r="J163" s="21" t="str">
        <f aca="false">IF(A163="","",MONTH(A163))</f>
        <v/>
      </c>
    </row>
    <row r="164" customFormat="false" ht="15" hidden="false" customHeight="false" outlineLevel="0" collapsed="false">
      <c r="A164" s="19"/>
      <c r="B164" s="7"/>
      <c r="C164" s="7"/>
      <c r="D164" s="7"/>
      <c r="E164" s="17"/>
      <c r="F164" s="17"/>
      <c r="G164" s="7"/>
      <c r="H164" s="20" t="n">
        <f aca="false">IF(G164="Card",ROUND((E164+F164)*Settings!$B$8+Settings!$B$9,2),0)</f>
        <v>0</v>
      </c>
      <c r="I164" s="20" t="str">
        <f aca="false">IF(A164="","",E164+F164-H164)</f>
        <v/>
      </c>
      <c r="J164" s="21" t="str">
        <f aca="false">IF(A164="","",MONTH(A164))</f>
        <v/>
      </c>
    </row>
    <row r="165" customFormat="false" ht="15" hidden="false" customHeight="false" outlineLevel="0" collapsed="false">
      <c r="A165" s="19"/>
      <c r="B165" s="7"/>
      <c r="C165" s="7"/>
      <c r="D165" s="7"/>
      <c r="E165" s="17"/>
      <c r="F165" s="17"/>
      <c r="G165" s="7"/>
      <c r="H165" s="20" t="n">
        <f aca="false">IF(G165="Card",ROUND((E165+F165)*Settings!$B$8+Settings!$B$9,2),0)</f>
        <v>0</v>
      </c>
      <c r="I165" s="20" t="str">
        <f aca="false">IF(A165="","",E165+F165-H165)</f>
        <v/>
      </c>
      <c r="J165" s="21" t="str">
        <f aca="false">IF(A165="","",MONTH(A165))</f>
        <v/>
      </c>
    </row>
    <row r="166" customFormat="false" ht="15" hidden="false" customHeight="false" outlineLevel="0" collapsed="false">
      <c r="A166" s="19"/>
      <c r="B166" s="7"/>
      <c r="C166" s="7"/>
      <c r="D166" s="7"/>
      <c r="E166" s="17"/>
      <c r="F166" s="17"/>
      <c r="G166" s="7"/>
      <c r="H166" s="20" t="n">
        <f aca="false">IF(G166="Card",ROUND((E166+F166)*Settings!$B$8+Settings!$B$9,2),0)</f>
        <v>0</v>
      </c>
      <c r="I166" s="20" t="str">
        <f aca="false">IF(A166="","",E166+F166-H166)</f>
        <v/>
      </c>
      <c r="J166" s="21" t="str">
        <f aca="false">IF(A166="","",MONTH(A166))</f>
        <v/>
      </c>
    </row>
    <row r="167" customFormat="false" ht="15" hidden="false" customHeight="false" outlineLevel="0" collapsed="false">
      <c r="A167" s="19"/>
      <c r="B167" s="7"/>
      <c r="C167" s="7"/>
      <c r="D167" s="7"/>
      <c r="E167" s="17"/>
      <c r="F167" s="17"/>
      <c r="G167" s="7"/>
      <c r="H167" s="20" t="n">
        <f aca="false">IF(G167="Card",ROUND((E167+F167)*Settings!$B$8+Settings!$B$9,2),0)</f>
        <v>0</v>
      </c>
      <c r="I167" s="20" t="str">
        <f aca="false">IF(A167="","",E167+F167-H167)</f>
        <v/>
      </c>
      <c r="J167" s="21" t="str">
        <f aca="false">IF(A167="","",MONTH(A167))</f>
        <v/>
      </c>
    </row>
    <row r="168" customFormat="false" ht="15" hidden="false" customHeight="false" outlineLevel="0" collapsed="false">
      <c r="A168" s="19"/>
      <c r="B168" s="7"/>
      <c r="C168" s="7"/>
      <c r="D168" s="7"/>
      <c r="E168" s="17"/>
      <c r="F168" s="17"/>
      <c r="G168" s="7"/>
      <c r="H168" s="20" t="n">
        <f aca="false">IF(G168="Card",ROUND((E168+F168)*Settings!$B$8+Settings!$B$9,2),0)</f>
        <v>0</v>
      </c>
      <c r="I168" s="20" t="str">
        <f aca="false">IF(A168="","",E168+F168-H168)</f>
        <v/>
      </c>
      <c r="J168" s="21" t="str">
        <f aca="false">IF(A168="","",MONTH(A168))</f>
        <v/>
      </c>
    </row>
    <row r="169" customFormat="false" ht="15" hidden="false" customHeight="false" outlineLevel="0" collapsed="false">
      <c r="A169" s="19"/>
      <c r="B169" s="7"/>
      <c r="C169" s="7"/>
      <c r="D169" s="7"/>
      <c r="E169" s="17"/>
      <c r="F169" s="17"/>
      <c r="G169" s="7"/>
      <c r="H169" s="20" t="n">
        <f aca="false">IF(G169="Card",ROUND((E169+F169)*Settings!$B$8+Settings!$B$9,2),0)</f>
        <v>0</v>
      </c>
      <c r="I169" s="20" t="str">
        <f aca="false">IF(A169="","",E169+F169-H169)</f>
        <v/>
      </c>
      <c r="J169" s="21" t="str">
        <f aca="false">IF(A169="","",MONTH(A169))</f>
        <v/>
      </c>
    </row>
    <row r="170" customFormat="false" ht="15" hidden="false" customHeight="false" outlineLevel="0" collapsed="false">
      <c r="A170" s="19"/>
      <c r="B170" s="7"/>
      <c r="C170" s="7"/>
      <c r="D170" s="7"/>
      <c r="E170" s="17"/>
      <c r="F170" s="17"/>
      <c r="G170" s="7"/>
      <c r="H170" s="20" t="n">
        <f aca="false">IF(G170="Card",ROUND((E170+F170)*Settings!$B$8+Settings!$B$9,2),0)</f>
        <v>0</v>
      </c>
      <c r="I170" s="20" t="str">
        <f aca="false">IF(A170="","",E170+F170-H170)</f>
        <v/>
      </c>
      <c r="J170" s="21" t="str">
        <f aca="false">IF(A170="","",MONTH(A170))</f>
        <v/>
      </c>
    </row>
    <row r="171" customFormat="false" ht="15" hidden="false" customHeight="false" outlineLevel="0" collapsed="false">
      <c r="A171" s="19"/>
      <c r="B171" s="7"/>
      <c r="C171" s="7"/>
      <c r="D171" s="7"/>
      <c r="E171" s="17"/>
      <c r="F171" s="17"/>
      <c r="G171" s="7"/>
      <c r="H171" s="20" t="n">
        <f aca="false">IF(G171="Card",ROUND((E171+F171)*Settings!$B$8+Settings!$B$9,2),0)</f>
        <v>0</v>
      </c>
      <c r="I171" s="20" t="str">
        <f aca="false">IF(A171="","",E171+F171-H171)</f>
        <v/>
      </c>
      <c r="J171" s="21" t="str">
        <f aca="false">IF(A171="","",MONTH(A171))</f>
        <v/>
      </c>
    </row>
    <row r="172" customFormat="false" ht="15" hidden="false" customHeight="false" outlineLevel="0" collapsed="false">
      <c r="A172" s="19"/>
      <c r="B172" s="7"/>
      <c r="C172" s="7"/>
      <c r="D172" s="7"/>
      <c r="E172" s="17"/>
      <c r="F172" s="17"/>
      <c r="G172" s="7"/>
      <c r="H172" s="20" t="n">
        <f aca="false">IF(G172="Card",ROUND((E172+F172)*Settings!$B$8+Settings!$B$9,2),0)</f>
        <v>0</v>
      </c>
      <c r="I172" s="20" t="str">
        <f aca="false">IF(A172="","",E172+F172-H172)</f>
        <v/>
      </c>
      <c r="J172" s="21" t="str">
        <f aca="false">IF(A172="","",MONTH(A172))</f>
        <v/>
      </c>
    </row>
    <row r="173" customFormat="false" ht="15" hidden="false" customHeight="false" outlineLevel="0" collapsed="false">
      <c r="A173" s="19"/>
      <c r="B173" s="7"/>
      <c r="C173" s="7"/>
      <c r="D173" s="7"/>
      <c r="E173" s="17"/>
      <c r="F173" s="17"/>
      <c r="G173" s="7"/>
      <c r="H173" s="20" t="n">
        <f aca="false">IF(G173="Card",ROUND((E173+F173)*Settings!$B$8+Settings!$B$9,2),0)</f>
        <v>0</v>
      </c>
      <c r="I173" s="20" t="str">
        <f aca="false">IF(A173="","",E173+F173-H173)</f>
        <v/>
      </c>
      <c r="J173" s="21" t="str">
        <f aca="false">IF(A173="","",MONTH(A173))</f>
        <v/>
      </c>
    </row>
    <row r="174" customFormat="false" ht="15" hidden="false" customHeight="false" outlineLevel="0" collapsed="false">
      <c r="A174" s="19"/>
      <c r="B174" s="7"/>
      <c r="C174" s="7"/>
      <c r="D174" s="7"/>
      <c r="E174" s="17"/>
      <c r="F174" s="17"/>
      <c r="G174" s="7"/>
      <c r="H174" s="20" t="n">
        <f aca="false">IF(G174="Card",ROUND((E174+F174)*Settings!$B$8+Settings!$B$9,2),0)</f>
        <v>0</v>
      </c>
      <c r="I174" s="20" t="str">
        <f aca="false">IF(A174="","",E174+F174-H174)</f>
        <v/>
      </c>
      <c r="J174" s="21" t="str">
        <f aca="false">IF(A174="","",MONTH(A174))</f>
        <v/>
      </c>
    </row>
    <row r="175" customFormat="false" ht="15" hidden="false" customHeight="false" outlineLevel="0" collapsed="false">
      <c r="A175" s="19"/>
      <c r="B175" s="7"/>
      <c r="C175" s="7"/>
      <c r="D175" s="7"/>
      <c r="E175" s="17"/>
      <c r="F175" s="17"/>
      <c r="G175" s="7"/>
      <c r="H175" s="20" t="n">
        <f aca="false">IF(G175="Card",ROUND((E175+F175)*Settings!$B$8+Settings!$B$9,2),0)</f>
        <v>0</v>
      </c>
      <c r="I175" s="20" t="str">
        <f aca="false">IF(A175="","",E175+F175-H175)</f>
        <v/>
      </c>
      <c r="J175" s="21" t="str">
        <f aca="false">IF(A175="","",MONTH(A175))</f>
        <v/>
      </c>
    </row>
    <row r="176" customFormat="false" ht="15" hidden="false" customHeight="false" outlineLevel="0" collapsed="false">
      <c r="A176" s="19"/>
      <c r="B176" s="7"/>
      <c r="C176" s="7"/>
      <c r="D176" s="7"/>
      <c r="E176" s="17"/>
      <c r="F176" s="17"/>
      <c r="G176" s="7"/>
      <c r="H176" s="20" t="n">
        <f aca="false">IF(G176="Card",ROUND((E176+F176)*Settings!$B$8+Settings!$B$9,2),0)</f>
        <v>0</v>
      </c>
      <c r="I176" s="20" t="str">
        <f aca="false">IF(A176="","",E176+F176-H176)</f>
        <v/>
      </c>
      <c r="J176" s="21" t="str">
        <f aca="false">IF(A176="","",MONTH(A176))</f>
        <v/>
      </c>
    </row>
    <row r="177" customFormat="false" ht="15" hidden="false" customHeight="false" outlineLevel="0" collapsed="false">
      <c r="A177" s="19"/>
      <c r="B177" s="7"/>
      <c r="C177" s="7"/>
      <c r="D177" s="7"/>
      <c r="E177" s="17"/>
      <c r="F177" s="17"/>
      <c r="G177" s="7"/>
      <c r="H177" s="20" t="n">
        <f aca="false">IF(G177="Card",ROUND((E177+F177)*Settings!$B$8+Settings!$B$9,2),0)</f>
        <v>0</v>
      </c>
      <c r="I177" s="20" t="str">
        <f aca="false">IF(A177="","",E177+F177-H177)</f>
        <v/>
      </c>
      <c r="J177" s="21" t="str">
        <f aca="false">IF(A177="","",MONTH(A177))</f>
        <v/>
      </c>
    </row>
    <row r="178" customFormat="false" ht="15" hidden="false" customHeight="false" outlineLevel="0" collapsed="false">
      <c r="A178" s="19"/>
      <c r="B178" s="7"/>
      <c r="C178" s="7"/>
      <c r="D178" s="7"/>
      <c r="E178" s="17"/>
      <c r="F178" s="17"/>
      <c r="G178" s="7"/>
      <c r="H178" s="20" t="n">
        <f aca="false">IF(G178="Card",ROUND((E178+F178)*Settings!$B$8+Settings!$B$9,2),0)</f>
        <v>0</v>
      </c>
      <c r="I178" s="20" t="str">
        <f aca="false">IF(A178="","",E178+F178-H178)</f>
        <v/>
      </c>
      <c r="J178" s="21" t="str">
        <f aca="false">IF(A178="","",MONTH(A178))</f>
        <v/>
      </c>
    </row>
    <row r="179" customFormat="false" ht="15" hidden="false" customHeight="false" outlineLevel="0" collapsed="false">
      <c r="A179" s="19"/>
      <c r="B179" s="7"/>
      <c r="C179" s="7"/>
      <c r="D179" s="7"/>
      <c r="E179" s="17"/>
      <c r="F179" s="17"/>
      <c r="G179" s="7"/>
      <c r="H179" s="20" t="n">
        <f aca="false">IF(G179="Card",ROUND((E179+F179)*Settings!$B$8+Settings!$B$9,2),0)</f>
        <v>0</v>
      </c>
      <c r="I179" s="20" t="str">
        <f aca="false">IF(A179="","",E179+F179-H179)</f>
        <v/>
      </c>
      <c r="J179" s="21" t="str">
        <f aca="false">IF(A179="","",MONTH(A179))</f>
        <v/>
      </c>
    </row>
    <row r="180" customFormat="false" ht="15" hidden="false" customHeight="false" outlineLevel="0" collapsed="false">
      <c r="A180" s="19"/>
      <c r="B180" s="7"/>
      <c r="C180" s="7"/>
      <c r="D180" s="7"/>
      <c r="E180" s="17"/>
      <c r="F180" s="17"/>
      <c r="G180" s="7"/>
      <c r="H180" s="20" t="n">
        <f aca="false">IF(G180="Card",ROUND((E180+F180)*Settings!$B$8+Settings!$B$9,2),0)</f>
        <v>0</v>
      </c>
      <c r="I180" s="20" t="str">
        <f aca="false">IF(A180="","",E180+F180-H180)</f>
        <v/>
      </c>
      <c r="J180" s="21" t="str">
        <f aca="false">IF(A180="","",MONTH(A180))</f>
        <v/>
      </c>
    </row>
    <row r="181" customFormat="false" ht="15" hidden="false" customHeight="false" outlineLevel="0" collapsed="false">
      <c r="A181" s="19"/>
      <c r="B181" s="7"/>
      <c r="C181" s="7"/>
      <c r="D181" s="7"/>
      <c r="E181" s="17"/>
      <c r="F181" s="17"/>
      <c r="G181" s="7"/>
      <c r="H181" s="20" t="n">
        <f aca="false">IF(G181="Card",ROUND((E181+F181)*Settings!$B$8+Settings!$B$9,2),0)</f>
        <v>0</v>
      </c>
      <c r="I181" s="20" t="str">
        <f aca="false">IF(A181="","",E181+F181-H181)</f>
        <v/>
      </c>
      <c r="J181" s="21" t="str">
        <f aca="false">IF(A181="","",MONTH(A181))</f>
        <v/>
      </c>
    </row>
    <row r="182" customFormat="false" ht="15" hidden="false" customHeight="false" outlineLevel="0" collapsed="false">
      <c r="A182" s="19"/>
      <c r="B182" s="7"/>
      <c r="C182" s="7"/>
      <c r="D182" s="7"/>
      <c r="E182" s="17"/>
      <c r="F182" s="17"/>
      <c r="G182" s="7"/>
      <c r="H182" s="20" t="n">
        <f aca="false">IF(G182="Card",ROUND((E182+F182)*Settings!$B$8+Settings!$B$9,2),0)</f>
        <v>0</v>
      </c>
      <c r="I182" s="20" t="str">
        <f aca="false">IF(A182="","",E182+F182-H182)</f>
        <v/>
      </c>
      <c r="J182" s="21" t="str">
        <f aca="false">IF(A182="","",MONTH(A182))</f>
        <v/>
      </c>
    </row>
    <row r="183" customFormat="false" ht="15" hidden="false" customHeight="false" outlineLevel="0" collapsed="false">
      <c r="A183" s="19"/>
      <c r="B183" s="7"/>
      <c r="C183" s="7"/>
      <c r="D183" s="7"/>
      <c r="E183" s="17"/>
      <c r="F183" s="17"/>
      <c r="G183" s="7"/>
      <c r="H183" s="20" t="n">
        <f aca="false">IF(G183="Card",ROUND((E183+F183)*Settings!$B$8+Settings!$B$9,2),0)</f>
        <v>0</v>
      </c>
      <c r="I183" s="20" t="str">
        <f aca="false">IF(A183="","",E183+F183-H183)</f>
        <v/>
      </c>
      <c r="J183" s="21" t="str">
        <f aca="false">IF(A183="","",MONTH(A183))</f>
        <v/>
      </c>
    </row>
    <row r="184" customFormat="false" ht="15" hidden="false" customHeight="false" outlineLevel="0" collapsed="false">
      <c r="A184" s="19"/>
      <c r="B184" s="7"/>
      <c r="C184" s="7"/>
      <c r="D184" s="7"/>
      <c r="E184" s="17"/>
      <c r="F184" s="17"/>
      <c r="G184" s="7"/>
      <c r="H184" s="20" t="n">
        <f aca="false">IF(G184="Card",ROUND((E184+F184)*Settings!$B$8+Settings!$B$9,2),0)</f>
        <v>0</v>
      </c>
      <c r="I184" s="20" t="str">
        <f aca="false">IF(A184="","",E184+F184-H184)</f>
        <v/>
      </c>
      <c r="J184" s="21" t="str">
        <f aca="false">IF(A184="","",MONTH(A184))</f>
        <v/>
      </c>
    </row>
    <row r="185" customFormat="false" ht="15" hidden="false" customHeight="false" outlineLevel="0" collapsed="false">
      <c r="A185" s="19"/>
      <c r="B185" s="7"/>
      <c r="C185" s="7"/>
      <c r="D185" s="7"/>
      <c r="E185" s="17"/>
      <c r="F185" s="17"/>
      <c r="G185" s="7"/>
      <c r="H185" s="20" t="n">
        <f aca="false">IF(G185="Card",ROUND((E185+F185)*Settings!$B$8+Settings!$B$9,2),0)</f>
        <v>0</v>
      </c>
      <c r="I185" s="20" t="str">
        <f aca="false">IF(A185="","",E185+F185-H185)</f>
        <v/>
      </c>
      <c r="J185" s="21" t="str">
        <f aca="false">IF(A185="","",MONTH(A185))</f>
        <v/>
      </c>
    </row>
    <row r="186" customFormat="false" ht="15" hidden="false" customHeight="false" outlineLevel="0" collapsed="false">
      <c r="A186" s="19"/>
      <c r="B186" s="7"/>
      <c r="C186" s="7"/>
      <c r="D186" s="7"/>
      <c r="E186" s="17"/>
      <c r="F186" s="17"/>
      <c r="G186" s="7"/>
      <c r="H186" s="20" t="n">
        <f aca="false">IF(G186="Card",ROUND((E186+F186)*Settings!$B$8+Settings!$B$9,2),0)</f>
        <v>0</v>
      </c>
      <c r="I186" s="20" t="str">
        <f aca="false">IF(A186="","",E186+F186-H186)</f>
        <v/>
      </c>
      <c r="J186" s="21" t="str">
        <f aca="false">IF(A186="","",MONTH(A186))</f>
        <v/>
      </c>
    </row>
    <row r="187" customFormat="false" ht="15" hidden="false" customHeight="false" outlineLevel="0" collapsed="false">
      <c r="A187" s="19"/>
      <c r="B187" s="7"/>
      <c r="C187" s="7"/>
      <c r="D187" s="7"/>
      <c r="E187" s="17"/>
      <c r="F187" s="17"/>
      <c r="G187" s="7"/>
      <c r="H187" s="20" t="n">
        <f aca="false">IF(G187="Card",ROUND((E187+F187)*Settings!$B$8+Settings!$B$9,2),0)</f>
        <v>0</v>
      </c>
      <c r="I187" s="20" t="str">
        <f aca="false">IF(A187="","",E187+F187-H187)</f>
        <v/>
      </c>
      <c r="J187" s="21" t="str">
        <f aca="false">IF(A187="","",MONTH(A187))</f>
        <v/>
      </c>
    </row>
    <row r="188" customFormat="false" ht="15" hidden="false" customHeight="false" outlineLevel="0" collapsed="false">
      <c r="A188" s="19"/>
      <c r="B188" s="7"/>
      <c r="C188" s="7"/>
      <c r="D188" s="7"/>
      <c r="E188" s="17"/>
      <c r="F188" s="17"/>
      <c r="G188" s="7"/>
      <c r="H188" s="20" t="n">
        <f aca="false">IF(G188="Card",ROUND((E188+F188)*Settings!$B$8+Settings!$B$9,2),0)</f>
        <v>0</v>
      </c>
      <c r="I188" s="20" t="str">
        <f aca="false">IF(A188="","",E188+F188-H188)</f>
        <v/>
      </c>
      <c r="J188" s="21" t="str">
        <f aca="false">IF(A188="","",MONTH(A188))</f>
        <v/>
      </c>
    </row>
    <row r="189" customFormat="false" ht="15" hidden="false" customHeight="false" outlineLevel="0" collapsed="false">
      <c r="A189" s="19"/>
      <c r="B189" s="7"/>
      <c r="C189" s="7"/>
      <c r="D189" s="7"/>
      <c r="E189" s="17"/>
      <c r="F189" s="17"/>
      <c r="G189" s="7"/>
      <c r="H189" s="20" t="n">
        <f aca="false">IF(G189="Card",ROUND((E189+F189)*Settings!$B$8+Settings!$B$9,2),0)</f>
        <v>0</v>
      </c>
      <c r="I189" s="20" t="str">
        <f aca="false">IF(A189="","",E189+F189-H189)</f>
        <v/>
      </c>
      <c r="J189" s="21" t="str">
        <f aca="false">IF(A189="","",MONTH(A189))</f>
        <v/>
      </c>
    </row>
    <row r="190" customFormat="false" ht="15" hidden="false" customHeight="false" outlineLevel="0" collapsed="false">
      <c r="A190" s="19"/>
      <c r="B190" s="7"/>
      <c r="C190" s="7"/>
      <c r="D190" s="7"/>
      <c r="E190" s="17"/>
      <c r="F190" s="17"/>
      <c r="G190" s="7"/>
      <c r="H190" s="20" t="n">
        <f aca="false">IF(G190="Card",ROUND((E190+F190)*Settings!$B$8+Settings!$B$9,2),0)</f>
        <v>0</v>
      </c>
      <c r="I190" s="20" t="str">
        <f aca="false">IF(A190="","",E190+F190-H190)</f>
        <v/>
      </c>
      <c r="J190" s="21" t="str">
        <f aca="false">IF(A190="","",MONTH(A190))</f>
        <v/>
      </c>
    </row>
    <row r="191" customFormat="false" ht="15" hidden="false" customHeight="false" outlineLevel="0" collapsed="false">
      <c r="A191" s="19"/>
      <c r="B191" s="7"/>
      <c r="C191" s="7"/>
      <c r="D191" s="7"/>
      <c r="E191" s="17"/>
      <c r="F191" s="17"/>
      <c r="G191" s="7"/>
      <c r="H191" s="20" t="n">
        <f aca="false">IF(G191="Card",ROUND((E191+F191)*Settings!$B$8+Settings!$B$9,2),0)</f>
        <v>0</v>
      </c>
      <c r="I191" s="20" t="str">
        <f aca="false">IF(A191="","",E191+F191-H191)</f>
        <v/>
      </c>
      <c r="J191" s="21" t="str">
        <f aca="false">IF(A191="","",MONTH(A191))</f>
        <v/>
      </c>
    </row>
    <row r="192" customFormat="false" ht="15" hidden="false" customHeight="false" outlineLevel="0" collapsed="false">
      <c r="A192" s="19"/>
      <c r="B192" s="7"/>
      <c r="C192" s="7"/>
      <c r="D192" s="7"/>
      <c r="E192" s="17"/>
      <c r="F192" s="17"/>
      <c r="G192" s="7"/>
      <c r="H192" s="20" t="n">
        <f aca="false">IF(G192="Card",ROUND((E192+F192)*Settings!$B$8+Settings!$B$9,2),0)</f>
        <v>0</v>
      </c>
      <c r="I192" s="20" t="str">
        <f aca="false">IF(A192="","",E192+F192-H192)</f>
        <v/>
      </c>
      <c r="J192" s="21" t="str">
        <f aca="false">IF(A192="","",MONTH(A192))</f>
        <v/>
      </c>
    </row>
    <row r="193" customFormat="false" ht="15" hidden="false" customHeight="false" outlineLevel="0" collapsed="false">
      <c r="A193" s="19"/>
      <c r="B193" s="7"/>
      <c r="C193" s="7"/>
      <c r="D193" s="7"/>
      <c r="E193" s="17"/>
      <c r="F193" s="17"/>
      <c r="G193" s="7"/>
      <c r="H193" s="20" t="n">
        <f aca="false">IF(G193="Card",ROUND((E193+F193)*Settings!$B$8+Settings!$B$9,2),0)</f>
        <v>0</v>
      </c>
      <c r="I193" s="20" t="str">
        <f aca="false">IF(A193="","",E193+F193-H193)</f>
        <v/>
      </c>
      <c r="J193" s="21" t="str">
        <f aca="false">IF(A193="","",MONTH(A193))</f>
        <v/>
      </c>
    </row>
    <row r="194" customFormat="false" ht="15" hidden="false" customHeight="false" outlineLevel="0" collapsed="false">
      <c r="A194" s="19"/>
      <c r="B194" s="7"/>
      <c r="C194" s="7"/>
      <c r="D194" s="7"/>
      <c r="E194" s="17"/>
      <c r="F194" s="17"/>
      <c r="G194" s="7"/>
      <c r="H194" s="20" t="n">
        <f aca="false">IF(G194="Card",ROUND((E194+F194)*Settings!$B$8+Settings!$B$9,2),0)</f>
        <v>0</v>
      </c>
      <c r="I194" s="20" t="str">
        <f aca="false">IF(A194="","",E194+F194-H194)</f>
        <v/>
      </c>
      <c r="J194" s="21" t="str">
        <f aca="false">IF(A194="","",MONTH(A194))</f>
        <v/>
      </c>
    </row>
    <row r="195" customFormat="false" ht="15" hidden="false" customHeight="false" outlineLevel="0" collapsed="false">
      <c r="A195" s="19"/>
      <c r="B195" s="7"/>
      <c r="C195" s="7"/>
      <c r="D195" s="7"/>
      <c r="E195" s="17"/>
      <c r="F195" s="17"/>
      <c r="G195" s="7"/>
      <c r="H195" s="20" t="n">
        <f aca="false">IF(G195="Card",ROUND((E195+F195)*Settings!$B$8+Settings!$B$9,2),0)</f>
        <v>0</v>
      </c>
      <c r="I195" s="20" t="str">
        <f aca="false">IF(A195="","",E195+F195-H195)</f>
        <v/>
      </c>
      <c r="J195" s="21" t="str">
        <f aca="false">IF(A195="","",MONTH(A195))</f>
        <v/>
      </c>
    </row>
    <row r="196" customFormat="false" ht="15" hidden="false" customHeight="false" outlineLevel="0" collapsed="false">
      <c r="A196" s="19"/>
      <c r="B196" s="7"/>
      <c r="C196" s="7"/>
      <c r="D196" s="7"/>
      <c r="E196" s="17"/>
      <c r="F196" s="17"/>
      <c r="G196" s="7"/>
      <c r="H196" s="20" t="n">
        <f aca="false">IF(G196="Card",ROUND((E196+F196)*Settings!$B$8+Settings!$B$9,2),0)</f>
        <v>0</v>
      </c>
      <c r="I196" s="20" t="str">
        <f aca="false">IF(A196="","",E196+F196-H196)</f>
        <v/>
      </c>
      <c r="J196" s="21" t="str">
        <f aca="false">IF(A196="","",MONTH(A196))</f>
        <v/>
      </c>
    </row>
    <row r="197" customFormat="false" ht="15" hidden="false" customHeight="false" outlineLevel="0" collapsed="false">
      <c r="A197" s="19"/>
      <c r="B197" s="7"/>
      <c r="C197" s="7"/>
      <c r="D197" s="7"/>
      <c r="E197" s="17"/>
      <c r="F197" s="17"/>
      <c r="G197" s="7"/>
      <c r="H197" s="20" t="n">
        <f aca="false">IF(G197="Card",ROUND((E197+F197)*Settings!$B$8+Settings!$B$9,2),0)</f>
        <v>0</v>
      </c>
      <c r="I197" s="20" t="str">
        <f aca="false">IF(A197="","",E197+F197-H197)</f>
        <v/>
      </c>
      <c r="J197" s="21" t="str">
        <f aca="false">IF(A197="","",MONTH(A197))</f>
        <v/>
      </c>
    </row>
    <row r="198" customFormat="false" ht="15" hidden="false" customHeight="false" outlineLevel="0" collapsed="false">
      <c r="A198" s="19"/>
      <c r="B198" s="7"/>
      <c r="C198" s="7"/>
      <c r="D198" s="7"/>
      <c r="E198" s="17"/>
      <c r="F198" s="17"/>
      <c r="G198" s="7"/>
      <c r="H198" s="20" t="n">
        <f aca="false">IF(G198="Card",ROUND((E198+F198)*Settings!$B$8+Settings!$B$9,2),0)</f>
        <v>0</v>
      </c>
      <c r="I198" s="20" t="str">
        <f aca="false">IF(A198="","",E198+F198-H198)</f>
        <v/>
      </c>
      <c r="J198" s="21" t="str">
        <f aca="false">IF(A198="","",MONTH(A198))</f>
        <v/>
      </c>
    </row>
    <row r="199" customFormat="false" ht="15" hidden="false" customHeight="false" outlineLevel="0" collapsed="false">
      <c r="A199" s="19"/>
      <c r="B199" s="7"/>
      <c r="C199" s="7"/>
      <c r="D199" s="7"/>
      <c r="E199" s="17"/>
      <c r="F199" s="17"/>
      <c r="G199" s="7"/>
      <c r="H199" s="20" t="n">
        <f aca="false">IF(G199="Card",ROUND((E199+F199)*Settings!$B$8+Settings!$B$9,2),0)</f>
        <v>0</v>
      </c>
      <c r="I199" s="20" t="str">
        <f aca="false">IF(A199="","",E199+F199-H199)</f>
        <v/>
      </c>
      <c r="J199" s="21" t="str">
        <f aca="false">IF(A199="","",MONTH(A199))</f>
        <v/>
      </c>
    </row>
    <row r="200" customFormat="false" ht="15" hidden="false" customHeight="false" outlineLevel="0" collapsed="false">
      <c r="A200" s="19"/>
      <c r="B200" s="7"/>
      <c r="C200" s="7"/>
      <c r="D200" s="7"/>
      <c r="E200" s="17"/>
      <c r="F200" s="17"/>
      <c r="G200" s="7"/>
      <c r="H200" s="20" t="n">
        <f aca="false">IF(G200="Card",ROUND((E200+F200)*Settings!$B$8+Settings!$B$9,2),0)</f>
        <v>0</v>
      </c>
      <c r="I200" s="20" t="str">
        <f aca="false">IF(A200="","",E200+F200-H200)</f>
        <v/>
      </c>
      <c r="J200" s="21" t="str">
        <f aca="false">IF(A200="","",MONTH(A200))</f>
        <v/>
      </c>
    </row>
    <row r="201" customFormat="false" ht="15" hidden="false" customHeight="false" outlineLevel="0" collapsed="false">
      <c r="A201" s="19"/>
      <c r="B201" s="7"/>
      <c r="C201" s="7"/>
      <c r="D201" s="7"/>
      <c r="E201" s="17"/>
      <c r="F201" s="17"/>
      <c r="G201" s="7"/>
      <c r="H201" s="20" t="n">
        <f aca="false">IF(G201="Card",ROUND((E201+F201)*Settings!$B$8+Settings!$B$9,2),0)</f>
        <v>0</v>
      </c>
      <c r="I201" s="20" t="str">
        <f aca="false">IF(A201="","",E201+F201-H201)</f>
        <v/>
      </c>
      <c r="J201" s="21" t="str">
        <f aca="false">IF(A201="","",MONTH(A201))</f>
        <v/>
      </c>
    </row>
    <row r="202" customFormat="false" ht="15" hidden="false" customHeight="false" outlineLevel="0" collapsed="false">
      <c r="A202" s="19"/>
      <c r="B202" s="7"/>
      <c r="C202" s="7"/>
      <c r="D202" s="7"/>
      <c r="E202" s="17"/>
      <c r="F202" s="17"/>
      <c r="G202" s="7"/>
      <c r="H202" s="20" t="n">
        <f aca="false">IF(G202="Card",ROUND((E202+F202)*Settings!$B$8+Settings!$B$9,2),0)</f>
        <v>0</v>
      </c>
      <c r="I202" s="20" t="str">
        <f aca="false">IF(A202="","",E202+F202-H202)</f>
        <v/>
      </c>
      <c r="J202" s="21" t="str">
        <f aca="false">IF(A202="","",MONTH(A202))</f>
        <v/>
      </c>
    </row>
    <row r="203" customFormat="false" ht="15" hidden="false" customHeight="false" outlineLevel="0" collapsed="false">
      <c r="A203" s="19"/>
      <c r="B203" s="7"/>
      <c r="C203" s="7"/>
      <c r="D203" s="7"/>
      <c r="E203" s="17"/>
      <c r="F203" s="17"/>
      <c r="G203" s="7"/>
      <c r="H203" s="20" t="n">
        <f aca="false">IF(G203="Card",ROUND((E203+F203)*Settings!$B$8+Settings!$B$9,2),0)</f>
        <v>0</v>
      </c>
      <c r="I203" s="20" t="str">
        <f aca="false">IF(A203="","",E203+F203-H203)</f>
        <v/>
      </c>
      <c r="J203" s="21" t="str">
        <f aca="false">IF(A203="","",MONTH(A203))</f>
        <v/>
      </c>
    </row>
    <row r="204" customFormat="false" ht="15" hidden="false" customHeight="false" outlineLevel="0" collapsed="false">
      <c r="A204" s="19"/>
      <c r="B204" s="7"/>
      <c r="C204" s="7"/>
      <c r="D204" s="7"/>
      <c r="E204" s="17"/>
      <c r="F204" s="17"/>
      <c r="G204" s="7"/>
      <c r="H204" s="20" t="n">
        <f aca="false">IF(G204="Card",ROUND((E204+F204)*Settings!$B$8+Settings!$B$9,2),0)</f>
        <v>0</v>
      </c>
      <c r="I204" s="20" t="str">
        <f aca="false">IF(A204="","",E204+F204-H204)</f>
        <v/>
      </c>
      <c r="J204" s="21" t="str">
        <f aca="false">IF(A204="","",MONTH(A204))</f>
        <v/>
      </c>
    </row>
    <row r="205" customFormat="false" ht="15" hidden="false" customHeight="false" outlineLevel="0" collapsed="false">
      <c r="A205" s="19"/>
      <c r="B205" s="7"/>
      <c r="C205" s="7"/>
      <c r="D205" s="7"/>
      <c r="E205" s="17"/>
      <c r="F205" s="17"/>
      <c r="G205" s="7"/>
      <c r="H205" s="20" t="n">
        <f aca="false">IF(G205="Card",ROUND((E205+F205)*Settings!$B$8+Settings!$B$9,2),0)</f>
        <v>0</v>
      </c>
      <c r="I205" s="20" t="str">
        <f aca="false">IF(A205="","",E205+F205-H205)</f>
        <v/>
      </c>
      <c r="J205" s="21" t="str">
        <f aca="false">IF(A205="","",MONTH(A205))</f>
        <v/>
      </c>
    </row>
    <row r="206" customFormat="false" ht="15" hidden="false" customHeight="false" outlineLevel="0" collapsed="false">
      <c r="A206" s="19"/>
      <c r="B206" s="7"/>
      <c r="C206" s="7"/>
      <c r="D206" s="7"/>
      <c r="E206" s="17"/>
      <c r="F206" s="17"/>
      <c r="G206" s="7"/>
      <c r="H206" s="20" t="n">
        <f aca="false">IF(G206="Card",ROUND((E206+F206)*Settings!$B$8+Settings!$B$9,2),0)</f>
        <v>0</v>
      </c>
      <c r="I206" s="20" t="str">
        <f aca="false">IF(A206="","",E206+F206-H206)</f>
        <v/>
      </c>
      <c r="J206" s="21" t="str">
        <f aca="false">IF(A206="","",MONTH(A206))</f>
        <v/>
      </c>
    </row>
    <row r="207" customFormat="false" ht="15" hidden="false" customHeight="false" outlineLevel="0" collapsed="false">
      <c r="A207" s="19"/>
      <c r="B207" s="7"/>
      <c r="C207" s="7"/>
      <c r="D207" s="7"/>
      <c r="E207" s="17"/>
      <c r="F207" s="17"/>
      <c r="G207" s="7"/>
      <c r="H207" s="20" t="n">
        <f aca="false">IF(G207="Card",ROUND((E207+F207)*Settings!$B$8+Settings!$B$9,2),0)</f>
        <v>0</v>
      </c>
      <c r="I207" s="20" t="str">
        <f aca="false">IF(A207="","",E207+F207-H207)</f>
        <v/>
      </c>
      <c r="J207" s="21" t="str">
        <f aca="false">IF(A207="","",MONTH(A207))</f>
        <v/>
      </c>
    </row>
    <row r="208" customFormat="false" ht="15" hidden="false" customHeight="false" outlineLevel="0" collapsed="false">
      <c r="A208" s="19"/>
      <c r="B208" s="7"/>
      <c r="C208" s="7"/>
      <c r="D208" s="7"/>
      <c r="E208" s="17"/>
      <c r="F208" s="17"/>
      <c r="G208" s="7"/>
      <c r="H208" s="20" t="n">
        <f aca="false">IF(G208="Card",ROUND((E208+F208)*Settings!$B$8+Settings!$B$9,2),0)</f>
        <v>0</v>
      </c>
      <c r="I208" s="20" t="str">
        <f aca="false">IF(A208="","",E208+F208-H208)</f>
        <v/>
      </c>
      <c r="J208" s="21" t="str">
        <f aca="false">IF(A208="","",MONTH(A208))</f>
        <v/>
      </c>
    </row>
    <row r="209" customFormat="false" ht="15" hidden="false" customHeight="false" outlineLevel="0" collapsed="false">
      <c r="A209" s="19"/>
      <c r="B209" s="7"/>
      <c r="C209" s="7"/>
      <c r="D209" s="7"/>
      <c r="E209" s="17"/>
      <c r="F209" s="17"/>
      <c r="G209" s="7"/>
      <c r="H209" s="20" t="n">
        <f aca="false">IF(G209="Card",ROUND((E209+F209)*Settings!$B$8+Settings!$B$9,2),0)</f>
        <v>0</v>
      </c>
      <c r="I209" s="20" t="str">
        <f aca="false">IF(A209="","",E209+F209-H209)</f>
        <v/>
      </c>
      <c r="J209" s="21" t="str">
        <f aca="false">IF(A209="","",MONTH(A209))</f>
        <v/>
      </c>
    </row>
    <row r="210" customFormat="false" ht="15" hidden="false" customHeight="false" outlineLevel="0" collapsed="false">
      <c r="A210" s="19"/>
      <c r="B210" s="7"/>
      <c r="C210" s="7"/>
      <c r="D210" s="7"/>
      <c r="E210" s="17"/>
      <c r="F210" s="17"/>
      <c r="G210" s="7"/>
      <c r="H210" s="20" t="n">
        <f aca="false">IF(G210="Card",ROUND((E210+F210)*Settings!$B$8+Settings!$B$9,2),0)</f>
        <v>0</v>
      </c>
      <c r="I210" s="20" t="str">
        <f aca="false">IF(A210="","",E210+F210-H210)</f>
        <v/>
      </c>
      <c r="J210" s="21" t="str">
        <f aca="false">IF(A210="","",MONTH(A210))</f>
        <v/>
      </c>
    </row>
    <row r="211" customFormat="false" ht="15" hidden="false" customHeight="false" outlineLevel="0" collapsed="false">
      <c r="A211" s="19"/>
      <c r="B211" s="7"/>
      <c r="C211" s="7"/>
      <c r="D211" s="7"/>
      <c r="E211" s="17"/>
      <c r="F211" s="17"/>
      <c r="G211" s="7"/>
      <c r="H211" s="20" t="n">
        <f aca="false">IF(G211="Card",ROUND((E211+F211)*Settings!$B$8+Settings!$B$9,2),0)</f>
        <v>0</v>
      </c>
      <c r="I211" s="20" t="str">
        <f aca="false">IF(A211="","",E211+F211-H211)</f>
        <v/>
      </c>
      <c r="J211" s="21" t="str">
        <f aca="false">IF(A211="","",MONTH(A211))</f>
        <v/>
      </c>
    </row>
    <row r="212" customFormat="false" ht="15" hidden="false" customHeight="false" outlineLevel="0" collapsed="false">
      <c r="A212" s="19"/>
      <c r="B212" s="7"/>
      <c r="C212" s="7"/>
      <c r="D212" s="7"/>
      <c r="E212" s="17"/>
      <c r="F212" s="17"/>
      <c r="G212" s="7"/>
      <c r="H212" s="20" t="n">
        <f aca="false">IF(G212="Card",ROUND((E212+F212)*Settings!$B$8+Settings!$B$9,2),0)</f>
        <v>0</v>
      </c>
      <c r="I212" s="20" t="str">
        <f aca="false">IF(A212="","",E212+F212-H212)</f>
        <v/>
      </c>
      <c r="J212" s="21" t="str">
        <f aca="false">IF(A212="","",MONTH(A212))</f>
        <v/>
      </c>
    </row>
    <row r="213" customFormat="false" ht="15" hidden="false" customHeight="false" outlineLevel="0" collapsed="false">
      <c r="A213" s="19"/>
      <c r="B213" s="7"/>
      <c r="C213" s="7"/>
      <c r="D213" s="7"/>
      <c r="E213" s="17"/>
      <c r="F213" s="17"/>
      <c r="G213" s="7"/>
      <c r="H213" s="20" t="n">
        <f aca="false">IF(G213="Card",ROUND((E213+F213)*Settings!$B$8+Settings!$B$9,2),0)</f>
        <v>0</v>
      </c>
      <c r="I213" s="20" t="str">
        <f aca="false">IF(A213="","",E213+F213-H213)</f>
        <v/>
      </c>
      <c r="J213" s="21" t="str">
        <f aca="false">IF(A213="","",MONTH(A213))</f>
        <v/>
      </c>
    </row>
    <row r="214" customFormat="false" ht="15" hidden="false" customHeight="false" outlineLevel="0" collapsed="false">
      <c r="A214" s="19"/>
      <c r="B214" s="7"/>
      <c r="C214" s="7"/>
      <c r="D214" s="7"/>
      <c r="E214" s="17"/>
      <c r="F214" s="17"/>
      <c r="G214" s="7"/>
      <c r="H214" s="20" t="n">
        <f aca="false">IF(G214="Card",ROUND((E214+F214)*Settings!$B$8+Settings!$B$9,2),0)</f>
        <v>0</v>
      </c>
      <c r="I214" s="20" t="str">
        <f aca="false">IF(A214="","",E214+F214-H214)</f>
        <v/>
      </c>
      <c r="J214" s="21" t="str">
        <f aca="false">IF(A214="","",MONTH(A214))</f>
        <v/>
      </c>
    </row>
    <row r="215" customFormat="false" ht="15" hidden="false" customHeight="false" outlineLevel="0" collapsed="false">
      <c r="A215" s="19"/>
      <c r="B215" s="7"/>
      <c r="C215" s="7"/>
      <c r="D215" s="7"/>
      <c r="E215" s="17"/>
      <c r="F215" s="17"/>
      <c r="G215" s="7"/>
      <c r="H215" s="20" t="n">
        <f aca="false">IF(G215="Card",ROUND((E215+F215)*Settings!$B$8+Settings!$B$9,2),0)</f>
        <v>0</v>
      </c>
      <c r="I215" s="20" t="str">
        <f aca="false">IF(A215="","",E215+F215-H215)</f>
        <v/>
      </c>
      <c r="J215" s="21" t="str">
        <f aca="false">IF(A215="","",MONTH(A215))</f>
        <v/>
      </c>
    </row>
    <row r="216" customFormat="false" ht="15" hidden="false" customHeight="false" outlineLevel="0" collapsed="false">
      <c r="A216" s="19"/>
      <c r="B216" s="7"/>
      <c r="C216" s="7"/>
      <c r="D216" s="7"/>
      <c r="E216" s="17"/>
      <c r="F216" s="17"/>
      <c r="G216" s="7"/>
      <c r="H216" s="20" t="n">
        <f aca="false">IF(G216="Card",ROUND((E216+F216)*Settings!$B$8+Settings!$B$9,2),0)</f>
        <v>0</v>
      </c>
      <c r="I216" s="20" t="str">
        <f aca="false">IF(A216="","",E216+F216-H216)</f>
        <v/>
      </c>
      <c r="J216" s="21" t="str">
        <f aca="false">IF(A216="","",MONTH(A216))</f>
        <v/>
      </c>
    </row>
    <row r="217" customFormat="false" ht="15" hidden="false" customHeight="false" outlineLevel="0" collapsed="false">
      <c r="A217" s="19"/>
      <c r="B217" s="7"/>
      <c r="C217" s="7"/>
      <c r="D217" s="7"/>
      <c r="E217" s="17"/>
      <c r="F217" s="17"/>
      <c r="G217" s="7"/>
      <c r="H217" s="20" t="n">
        <f aca="false">IF(G217="Card",ROUND((E217+F217)*Settings!$B$8+Settings!$B$9,2),0)</f>
        <v>0</v>
      </c>
      <c r="I217" s="20" t="str">
        <f aca="false">IF(A217="","",E217+F217-H217)</f>
        <v/>
      </c>
      <c r="J217" s="21" t="str">
        <f aca="false">IF(A217="","",MONTH(A217))</f>
        <v/>
      </c>
    </row>
    <row r="218" customFormat="false" ht="15" hidden="false" customHeight="false" outlineLevel="0" collapsed="false">
      <c r="A218" s="19"/>
      <c r="B218" s="7"/>
      <c r="C218" s="7"/>
      <c r="D218" s="7"/>
      <c r="E218" s="17"/>
      <c r="F218" s="17"/>
      <c r="G218" s="7"/>
      <c r="H218" s="20" t="n">
        <f aca="false">IF(G218="Card",ROUND((E218+F218)*Settings!$B$8+Settings!$B$9,2),0)</f>
        <v>0</v>
      </c>
      <c r="I218" s="20" t="str">
        <f aca="false">IF(A218="","",E218+F218-H218)</f>
        <v/>
      </c>
      <c r="J218" s="21" t="str">
        <f aca="false">IF(A218="","",MONTH(A218))</f>
        <v/>
      </c>
    </row>
    <row r="219" customFormat="false" ht="15" hidden="false" customHeight="false" outlineLevel="0" collapsed="false">
      <c r="A219" s="19"/>
      <c r="B219" s="7"/>
      <c r="C219" s="7"/>
      <c r="D219" s="7"/>
      <c r="E219" s="17"/>
      <c r="F219" s="17"/>
      <c r="G219" s="7"/>
      <c r="H219" s="20" t="n">
        <f aca="false">IF(G219="Card",ROUND((E219+F219)*Settings!$B$8+Settings!$B$9,2),0)</f>
        <v>0</v>
      </c>
      <c r="I219" s="20" t="str">
        <f aca="false">IF(A219="","",E219+F219-H219)</f>
        <v/>
      </c>
      <c r="J219" s="21" t="str">
        <f aca="false">IF(A219="","",MONTH(A219))</f>
        <v/>
      </c>
    </row>
    <row r="220" customFormat="false" ht="15" hidden="false" customHeight="false" outlineLevel="0" collapsed="false">
      <c r="A220" s="19"/>
      <c r="B220" s="7"/>
      <c r="C220" s="7"/>
      <c r="D220" s="7"/>
      <c r="E220" s="17"/>
      <c r="F220" s="17"/>
      <c r="G220" s="7"/>
      <c r="H220" s="20" t="n">
        <f aca="false">IF(G220="Card",ROUND((E220+F220)*Settings!$B$8+Settings!$B$9,2),0)</f>
        <v>0</v>
      </c>
      <c r="I220" s="20" t="str">
        <f aca="false">IF(A220="","",E220+F220-H220)</f>
        <v/>
      </c>
      <c r="J220" s="21" t="str">
        <f aca="false">IF(A220="","",MONTH(A220))</f>
        <v/>
      </c>
    </row>
    <row r="221" customFormat="false" ht="15" hidden="false" customHeight="false" outlineLevel="0" collapsed="false">
      <c r="A221" s="19"/>
      <c r="B221" s="7"/>
      <c r="C221" s="7"/>
      <c r="D221" s="7"/>
      <c r="E221" s="17"/>
      <c r="F221" s="17"/>
      <c r="G221" s="7"/>
      <c r="H221" s="20" t="n">
        <f aca="false">IF(G221="Card",ROUND((E221+F221)*Settings!$B$8+Settings!$B$9,2),0)</f>
        <v>0</v>
      </c>
      <c r="I221" s="20" t="str">
        <f aca="false">IF(A221="","",E221+F221-H221)</f>
        <v/>
      </c>
      <c r="J221" s="21" t="str">
        <f aca="false">IF(A221="","",MONTH(A221))</f>
        <v/>
      </c>
    </row>
    <row r="222" customFormat="false" ht="15" hidden="false" customHeight="false" outlineLevel="0" collapsed="false">
      <c r="A222" s="19"/>
      <c r="B222" s="7"/>
      <c r="C222" s="7"/>
      <c r="D222" s="7"/>
      <c r="E222" s="17"/>
      <c r="F222" s="17"/>
      <c r="G222" s="7"/>
      <c r="H222" s="20" t="n">
        <f aca="false">IF(G222="Card",ROUND((E222+F222)*Settings!$B$8+Settings!$B$9,2),0)</f>
        <v>0</v>
      </c>
      <c r="I222" s="20" t="str">
        <f aca="false">IF(A222="","",E222+F222-H222)</f>
        <v/>
      </c>
      <c r="J222" s="21" t="str">
        <f aca="false">IF(A222="","",MONTH(A222))</f>
        <v/>
      </c>
    </row>
    <row r="223" customFormat="false" ht="15" hidden="false" customHeight="false" outlineLevel="0" collapsed="false">
      <c r="A223" s="19"/>
      <c r="B223" s="7"/>
      <c r="C223" s="7"/>
      <c r="D223" s="7"/>
      <c r="E223" s="17"/>
      <c r="F223" s="17"/>
      <c r="G223" s="7"/>
      <c r="H223" s="20" t="n">
        <f aca="false">IF(G223="Card",ROUND((E223+F223)*Settings!$B$8+Settings!$B$9,2),0)</f>
        <v>0</v>
      </c>
      <c r="I223" s="20" t="str">
        <f aca="false">IF(A223="","",E223+F223-H223)</f>
        <v/>
      </c>
      <c r="J223" s="21" t="str">
        <f aca="false">IF(A223="","",MONTH(A223))</f>
        <v/>
      </c>
    </row>
    <row r="224" customFormat="false" ht="15" hidden="false" customHeight="false" outlineLevel="0" collapsed="false">
      <c r="A224" s="19"/>
      <c r="B224" s="7"/>
      <c r="C224" s="7"/>
      <c r="D224" s="7"/>
      <c r="E224" s="17"/>
      <c r="F224" s="17"/>
      <c r="G224" s="7"/>
      <c r="H224" s="20" t="n">
        <f aca="false">IF(G224="Card",ROUND((E224+F224)*Settings!$B$8+Settings!$B$9,2),0)</f>
        <v>0</v>
      </c>
      <c r="I224" s="20" t="str">
        <f aca="false">IF(A224="","",E224+F224-H224)</f>
        <v/>
      </c>
      <c r="J224" s="21" t="str">
        <f aca="false">IF(A224="","",MONTH(A224))</f>
        <v/>
      </c>
    </row>
    <row r="225" customFormat="false" ht="15" hidden="false" customHeight="false" outlineLevel="0" collapsed="false">
      <c r="A225" s="19"/>
      <c r="B225" s="7"/>
      <c r="C225" s="7"/>
      <c r="D225" s="7"/>
      <c r="E225" s="17"/>
      <c r="F225" s="17"/>
      <c r="G225" s="7"/>
      <c r="H225" s="20" t="n">
        <f aca="false">IF(G225="Card",ROUND((E225+F225)*Settings!$B$8+Settings!$B$9,2),0)</f>
        <v>0</v>
      </c>
      <c r="I225" s="20" t="str">
        <f aca="false">IF(A225="","",E225+F225-H225)</f>
        <v/>
      </c>
      <c r="J225" s="21" t="str">
        <f aca="false">IF(A225="","",MONTH(A225))</f>
        <v/>
      </c>
    </row>
    <row r="226" customFormat="false" ht="15" hidden="false" customHeight="false" outlineLevel="0" collapsed="false">
      <c r="A226" s="19"/>
      <c r="B226" s="7"/>
      <c r="C226" s="7"/>
      <c r="D226" s="7"/>
      <c r="E226" s="17"/>
      <c r="F226" s="17"/>
      <c r="G226" s="7"/>
      <c r="H226" s="20" t="n">
        <f aca="false">IF(G226="Card",ROUND((E226+F226)*Settings!$B$8+Settings!$B$9,2),0)</f>
        <v>0</v>
      </c>
      <c r="I226" s="20" t="str">
        <f aca="false">IF(A226="","",E226+F226-H226)</f>
        <v/>
      </c>
      <c r="J226" s="21" t="str">
        <f aca="false">IF(A226="","",MONTH(A226))</f>
        <v/>
      </c>
    </row>
    <row r="227" customFormat="false" ht="15" hidden="false" customHeight="false" outlineLevel="0" collapsed="false">
      <c r="A227" s="19"/>
      <c r="B227" s="7"/>
      <c r="C227" s="7"/>
      <c r="D227" s="7"/>
      <c r="E227" s="17"/>
      <c r="F227" s="17"/>
      <c r="G227" s="7"/>
      <c r="H227" s="20" t="n">
        <f aca="false">IF(G227="Card",ROUND((E227+F227)*Settings!$B$8+Settings!$B$9,2),0)</f>
        <v>0</v>
      </c>
      <c r="I227" s="20" t="str">
        <f aca="false">IF(A227="","",E227+F227-H227)</f>
        <v/>
      </c>
      <c r="J227" s="21" t="str">
        <f aca="false">IF(A227="","",MONTH(A227))</f>
        <v/>
      </c>
    </row>
    <row r="228" customFormat="false" ht="15" hidden="false" customHeight="false" outlineLevel="0" collapsed="false">
      <c r="A228" s="19"/>
      <c r="B228" s="7"/>
      <c r="C228" s="7"/>
      <c r="D228" s="7"/>
      <c r="E228" s="17"/>
      <c r="F228" s="17"/>
      <c r="G228" s="7"/>
      <c r="H228" s="20" t="n">
        <f aca="false">IF(G228="Card",ROUND((E228+F228)*Settings!$B$8+Settings!$B$9,2),0)</f>
        <v>0</v>
      </c>
      <c r="I228" s="20" t="str">
        <f aca="false">IF(A228="","",E228+F228-H228)</f>
        <v/>
      </c>
      <c r="J228" s="21" t="str">
        <f aca="false">IF(A228="","",MONTH(A228))</f>
        <v/>
      </c>
    </row>
    <row r="229" customFormat="false" ht="15" hidden="false" customHeight="false" outlineLevel="0" collapsed="false">
      <c r="A229" s="19"/>
      <c r="B229" s="7"/>
      <c r="C229" s="7"/>
      <c r="D229" s="7"/>
      <c r="E229" s="17"/>
      <c r="F229" s="17"/>
      <c r="G229" s="7"/>
      <c r="H229" s="20" t="n">
        <f aca="false">IF(G229="Card",ROUND((E229+F229)*Settings!$B$8+Settings!$B$9,2),0)</f>
        <v>0</v>
      </c>
      <c r="I229" s="20" t="str">
        <f aca="false">IF(A229="","",E229+F229-H229)</f>
        <v/>
      </c>
      <c r="J229" s="21" t="str">
        <f aca="false">IF(A229="","",MONTH(A229))</f>
        <v/>
      </c>
    </row>
    <row r="230" customFormat="false" ht="15" hidden="false" customHeight="false" outlineLevel="0" collapsed="false">
      <c r="A230" s="19"/>
      <c r="B230" s="7"/>
      <c r="C230" s="7"/>
      <c r="D230" s="7"/>
      <c r="E230" s="17"/>
      <c r="F230" s="17"/>
      <c r="G230" s="7"/>
      <c r="H230" s="20" t="n">
        <f aca="false">IF(G230="Card",ROUND((E230+F230)*Settings!$B$8+Settings!$B$9,2),0)</f>
        <v>0</v>
      </c>
      <c r="I230" s="20" t="str">
        <f aca="false">IF(A230="","",E230+F230-H230)</f>
        <v/>
      </c>
      <c r="J230" s="21" t="str">
        <f aca="false">IF(A230="","",MONTH(A230))</f>
        <v/>
      </c>
    </row>
    <row r="231" customFormat="false" ht="15" hidden="false" customHeight="false" outlineLevel="0" collapsed="false">
      <c r="A231" s="19"/>
      <c r="B231" s="7"/>
      <c r="C231" s="7"/>
      <c r="D231" s="7"/>
      <c r="E231" s="17"/>
      <c r="F231" s="17"/>
      <c r="G231" s="7"/>
      <c r="H231" s="20" t="n">
        <f aca="false">IF(G231="Card",ROUND((E231+F231)*Settings!$B$8+Settings!$B$9,2),0)</f>
        <v>0</v>
      </c>
      <c r="I231" s="20" t="str">
        <f aca="false">IF(A231="","",E231+F231-H231)</f>
        <v/>
      </c>
      <c r="J231" s="21" t="str">
        <f aca="false">IF(A231="","",MONTH(A231))</f>
        <v/>
      </c>
    </row>
    <row r="232" customFormat="false" ht="15" hidden="false" customHeight="false" outlineLevel="0" collapsed="false">
      <c r="A232" s="19"/>
      <c r="B232" s="7"/>
      <c r="C232" s="7"/>
      <c r="D232" s="7"/>
      <c r="E232" s="17"/>
      <c r="F232" s="17"/>
      <c r="G232" s="7"/>
      <c r="H232" s="20" t="n">
        <f aca="false">IF(G232="Card",ROUND((E232+F232)*Settings!$B$8+Settings!$B$9,2),0)</f>
        <v>0</v>
      </c>
      <c r="I232" s="20" t="str">
        <f aca="false">IF(A232="","",E232+F232-H232)</f>
        <v/>
      </c>
      <c r="J232" s="21" t="str">
        <f aca="false">IF(A232="","",MONTH(A232))</f>
        <v/>
      </c>
    </row>
    <row r="233" customFormat="false" ht="15" hidden="false" customHeight="false" outlineLevel="0" collapsed="false">
      <c r="A233" s="19"/>
      <c r="B233" s="7"/>
      <c r="C233" s="7"/>
      <c r="D233" s="7"/>
      <c r="E233" s="17"/>
      <c r="F233" s="17"/>
      <c r="G233" s="7"/>
      <c r="H233" s="20" t="n">
        <f aca="false">IF(G233="Card",ROUND((E233+F233)*Settings!$B$8+Settings!$B$9,2),0)</f>
        <v>0</v>
      </c>
      <c r="I233" s="20" t="str">
        <f aca="false">IF(A233="","",E233+F233-H233)</f>
        <v/>
      </c>
      <c r="J233" s="21" t="str">
        <f aca="false">IF(A233="","",MONTH(A233))</f>
        <v/>
      </c>
    </row>
    <row r="234" customFormat="false" ht="15" hidden="false" customHeight="false" outlineLevel="0" collapsed="false">
      <c r="A234" s="19"/>
      <c r="B234" s="7"/>
      <c r="C234" s="7"/>
      <c r="D234" s="7"/>
      <c r="E234" s="17"/>
      <c r="F234" s="17"/>
      <c r="G234" s="7"/>
      <c r="H234" s="20" t="n">
        <f aca="false">IF(G234="Card",ROUND((E234+F234)*Settings!$B$8+Settings!$B$9,2),0)</f>
        <v>0</v>
      </c>
      <c r="I234" s="20" t="str">
        <f aca="false">IF(A234="","",E234+F234-H234)</f>
        <v/>
      </c>
      <c r="J234" s="21" t="str">
        <f aca="false">IF(A234="","",MONTH(A234))</f>
        <v/>
      </c>
    </row>
    <row r="235" customFormat="false" ht="15" hidden="false" customHeight="false" outlineLevel="0" collapsed="false">
      <c r="A235" s="19"/>
      <c r="B235" s="7"/>
      <c r="C235" s="7"/>
      <c r="D235" s="7"/>
      <c r="E235" s="17"/>
      <c r="F235" s="17"/>
      <c r="G235" s="7"/>
      <c r="H235" s="20" t="n">
        <f aca="false">IF(G235="Card",ROUND((E235+F235)*Settings!$B$8+Settings!$B$9,2),0)</f>
        <v>0</v>
      </c>
      <c r="I235" s="20" t="str">
        <f aca="false">IF(A235="","",E235+F235-H235)</f>
        <v/>
      </c>
      <c r="J235" s="21" t="str">
        <f aca="false">IF(A235="","",MONTH(A235))</f>
        <v/>
      </c>
    </row>
    <row r="236" customFormat="false" ht="15" hidden="false" customHeight="false" outlineLevel="0" collapsed="false">
      <c r="A236" s="19"/>
      <c r="B236" s="7"/>
      <c r="C236" s="7"/>
      <c r="D236" s="7"/>
      <c r="E236" s="17"/>
      <c r="F236" s="17"/>
      <c r="G236" s="7"/>
      <c r="H236" s="20" t="n">
        <f aca="false">IF(G236="Card",ROUND((E236+F236)*Settings!$B$8+Settings!$B$9,2),0)</f>
        <v>0</v>
      </c>
      <c r="I236" s="20" t="str">
        <f aca="false">IF(A236="","",E236+F236-H236)</f>
        <v/>
      </c>
      <c r="J236" s="21" t="str">
        <f aca="false">IF(A236="","",MONTH(A236))</f>
        <v/>
      </c>
    </row>
    <row r="237" customFormat="false" ht="15" hidden="false" customHeight="false" outlineLevel="0" collapsed="false">
      <c r="A237" s="19"/>
      <c r="B237" s="7"/>
      <c r="C237" s="7"/>
      <c r="D237" s="7"/>
      <c r="E237" s="17"/>
      <c r="F237" s="17"/>
      <c r="G237" s="7"/>
      <c r="H237" s="20" t="n">
        <f aca="false">IF(G237="Card",ROUND((E237+F237)*Settings!$B$8+Settings!$B$9,2),0)</f>
        <v>0</v>
      </c>
      <c r="I237" s="20" t="str">
        <f aca="false">IF(A237="","",E237+F237-H237)</f>
        <v/>
      </c>
      <c r="J237" s="21" t="str">
        <f aca="false">IF(A237="","",MONTH(A237))</f>
        <v/>
      </c>
    </row>
    <row r="238" customFormat="false" ht="15" hidden="false" customHeight="false" outlineLevel="0" collapsed="false">
      <c r="A238" s="19"/>
      <c r="B238" s="7"/>
      <c r="C238" s="7"/>
      <c r="D238" s="7"/>
      <c r="E238" s="17"/>
      <c r="F238" s="17"/>
      <c r="G238" s="7"/>
      <c r="H238" s="20" t="n">
        <f aca="false">IF(G238="Card",ROUND((E238+F238)*Settings!$B$8+Settings!$B$9,2),0)</f>
        <v>0</v>
      </c>
      <c r="I238" s="20" t="str">
        <f aca="false">IF(A238="","",E238+F238-H238)</f>
        <v/>
      </c>
      <c r="J238" s="21" t="str">
        <f aca="false">IF(A238="","",MONTH(A238))</f>
        <v/>
      </c>
    </row>
    <row r="239" customFormat="false" ht="15" hidden="false" customHeight="false" outlineLevel="0" collapsed="false">
      <c r="A239" s="19"/>
      <c r="B239" s="7"/>
      <c r="C239" s="7"/>
      <c r="D239" s="7"/>
      <c r="E239" s="17"/>
      <c r="F239" s="17"/>
      <c r="G239" s="7"/>
      <c r="H239" s="20" t="n">
        <f aca="false">IF(G239="Card",ROUND((E239+F239)*Settings!$B$8+Settings!$B$9,2),0)</f>
        <v>0</v>
      </c>
      <c r="I239" s="20" t="str">
        <f aca="false">IF(A239="","",E239+F239-H239)</f>
        <v/>
      </c>
      <c r="J239" s="21" t="str">
        <f aca="false">IF(A239="","",MONTH(A239))</f>
        <v/>
      </c>
    </row>
    <row r="240" customFormat="false" ht="15" hidden="false" customHeight="false" outlineLevel="0" collapsed="false">
      <c r="A240" s="19"/>
      <c r="B240" s="7"/>
      <c r="C240" s="7"/>
      <c r="D240" s="7"/>
      <c r="E240" s="17"/>
      <c r="F240" s="17"/>
      <c r="G240" s="7"/>
      <c r="H240" s="20" t="n">
        <f aca="false">IF(G240="Card",ROUND((E240+F240)*Settings!$B$8+Settings!$B$9,2),0)</f>
        <v>0</v>
      </c>
      <c r="I240" s="20" t="str">
        <f aca="false">IF(A240="","",E240+F240-H240)</f>
        <v/>
      </c>
      <c r="J240" s="21" t="str">
        <f aca="false">IF(A240="","",MONTH(A240))</f>
        <v/>
      </c>
    </row>
    <row r="241" customFormat="false" ht="15" hidden="false" customHeight="false" outlineLevel="0" collapsed="false">
      <c r="A241" s="19"/>
      <c r="B241" s="7"/>
      <c r="C241" s="7"/>
      <c r="D241" s="7"/>
      <c r="E241" s="17"/>
      <c r="F241" s="17"/>
      <c r="G241" s="7"/>
      <c r="H241" s="20" t="n">
        <f aca="false">IF(G241="Card",ROUND((E241+F241)*Settings!$B$8+Settings!$B$9,2),0)</f>
        <v>0</v>
      </c>
      <c r="I241" s="20" t="str">
        <f aca="false">IF(A241="","",E241+F241-H241)</f>
        <v/>
      </c>
      <c r="J241" s="21" t="str">
        <f aca="false">IF(A241="","",MONTH(A241))</f>
        <v/>
      </c>
    </row>
    <row r="242" customFormat="false" ht="15" hidden="false" customHeight="false" outlineLevel="0" collapsed="false">
      <c r="A242" s="19"/>
      <c r="B242" s="7"/>
      <c r="C242" s="7"/>
      <c r="D242" s="7"/>
      <c r="E242" s="17"/>
      <c r="F242" s="17"/>
      <c r="G242" s="7"/>
      <c r="H242" s="20" t="n">
        <f aca="false">IF(G242="Card",ROUND((E242+F242)*Settings!$B$8+Settings!$B$9,2),0)</f>
        <v>0</v>
      </c>
      <c r="I242" s="20" t="str">
        <f aca="false">IF(A242="","",E242+F242-H242)</f>
        <v/>
      </c>
      <c r="J242" s="21" t="str">
        <f aca="false">IF(A242="","",MONTH(A242))</f>
        <v/>
      </c>
    </row>
    <row r="243" customFormat="false" ht="15" hidden="false" customHeight="false" outlineLevel="0" collapsed="false">
      <c r="A243" s="19"/>
      <c r="B243" s="7"/>
      <c r="C243" s="7"/>
      <c r="D243" s="7"/>
      <c r="E243" s="17"/>
      <c r="F243" s="17"/>
      <c r="G243" s="7"/>
      <c r="H243" s="20" t="n">
        <f aca="false">IF(G243="Card",ROUND((E243+F243)*Settings!$B$8+Settings!$B$9,2),0)</f>
        <v>0</v>
      </c>
      <c r="I243" s="20" t="str">
        <f aca="false">IF(A243="","",E243+F243-H243)</f>
        <v/>
      </c>
      <c r="J243" s="21" t="str">
        <f aca="false">IF(A243="","",MONTH(A243))</f>
        <v/>
      </c>
    </row>
    <row r="244" customFormat="false" ht="15" hidden="false" customHeight="false" outlineLevel="0" collapsed="false">
      <c r="A244" s="19"/>
      <c r="B244" s="7"/>
      <c r="C244" s="7"/>
      <c r="D244" s="7"/>
      <c r="E244" s="17"/>
      <c r="F244" s="17"/>
      <c r="G244" s="7"/>
      <c r="H244" s="20" t="n">
        <f aca="false">IF(G244="Card",ROUND((E244+F244)*Settings!$B$8+Settings!$B$9,2),0)</f>
        <v>0</v>
      </c>
      <c r="I244" s="20" t="str">
        <f aca="false">IF(A244="","",E244+F244-H244)</f>
        <v/>
      </c>
      <c r="J244" s="21" t="str">
        <f aca="false">IF(A244="","",MONTH(A244))</f>
        <v/>
      </c>
    </row>
    <row r="245" customFormat="false" ht="15" hidden="false" customHeight="false" outlineLevel="0" collapsed="false">
      <c r="A245" s="19"/>
      <c r="B245" s="7"/>
      <c r="C245" s="7"/>
      <c r="D245" s="7"/>
      <c r="E245" s="17"/>
      <c r="F245" s="17"/>
      <c r="G245" s="7"/>
      <c r="H245" s="20" t="n">
        <f aca="false">IF(G245="Card",ROUND((E245+F245)*Settings!$B$8+Settings!$B$9,2),0)</f>
        <v>0</v>
      </c>
      <c r="I245" s="20" t="str">
        <f aca="false">IF(A245="","",E245+F245-H245)</f>
        <v/>
      </c>
      <c r="J245" s="21" t="str">
        <f aca="false">IF(A245="","",MONTH(A245))</f>
        <v/>
      </c>
    </row>
    <row r="246" customFormat="false" ht="15" hidden="false" customHeight="false" outlineLevel="0" collapsed="false">
      <c r="A246" s="19"/>
      <c r="B246" s="7"/>
      <c r="C246" s="7"/>
      <c r="D246" s="7"/>
      <c r="E246" s="17"/>
      <c r="F246" s="17"/>
      <c r="G246" s="7"/>
      <c r="H246" s="20" t="n">
        <f aca="false">IF(G246="Card",ROUND((E246+F246)*Settings!$B$8+Settings!$B$9,2),0)</f>
        <v>0</v>
      </c>
      <c r="I246" s="20" t="str">
        <f aca="false">IF(A246="","",E246+F246-H246)</f>
        <v/>
      </c>
      <c r="J246" s="21" t="str">
        <f aca="false">IF(A246="","",MONTH(A246))</f>
        <v/>
      </c>
    </row>
    <row r="247" customFormat="false" ht="15" hidden="false" customHeight="false" outlineLevel="0" collapsed="false">
      <c r="A247" s="19"/>
      <c r="B247" s="7"/>
      <c r="C247" s="7"/>
      <c r="D247" s="7"/>
      <c r="E247" s="17"/>
      <c r="F247" s="17"/>
      <c r="G247" s="7"/>
      <c r="H247" s="20" t="n">
        <f aca="false">IF(G247="Card",ROUND((E247+F247)*Settings!$B$8+Settings!$B$9,2),0)</f>
        <v>0</v>
      </c>
      <c r="I247" s="20" t="str">
        <f aca="false">IF(A247="","",E247+F247-H247)</f>
        <v/>
      </c>
      <c r="J247" s="21" t="str">
        <f aca="false">IF(A247="","",MONTH(A247))</f>
        <v/>
      </c>
    </row>
    <row r="248" customFormat="false" ht="15" hidden="false" customHeight="false" outlineLevel="0" collapsed="false">
      <c r="A248" s="19"/>
      <c r="B248" s="7"/>
      <c r="C248" s="7"/>
      <c r="D248" s="7"/>
      <c r="E248" s="17"/>
      <c r="F248" s="17"/>
      <c r="G248" s="7"/>
      <c r="H248" s="20" t="n">
        <f aca="false">IF(G248="Card",ROUND((E248+F248)*Settings!$B$8+Settings!$B$9,2),0)</f>
        <v>0</v>
      </c>
      <c r="I248" s="20" t="str">
        <f aca="false">IF(A248="","",E248+F248-H248)</f>
        <v/>
      </c>
      <c r="J248" s="21" t="str">
        <f aca="false">IF(A248="","",MONTH(A248))</f>
        <v/>
      </c>
    </row>
    <row r="249" customFormat="false" ht="15" hidden="false" customHeight="false" outlineLevel="0" collapsed="false">
      <c r="A249" s="19"/>
      <c r="B249" s="7"/>
      <c r="C249" s="7"/>
      <c r="D249" s="7"/>
      <c r="E249" s="17"/>
      <c r="F249" s="17"/>
      <c r="G249" s="7"/>
      <c r="H249" s="20" t="n">
        <f aca="false">IF(G249="Card",ROUND((E249+F249)*Settings!$B$8+Settings!$B$9,2),0)</f>
        <v>0</v>
      </c>
      <c r="I249" s="20" t="str">
        <f aca="false">IF(A249="","",E249+F249-H249)</f>
        <v/>
      </c>
      <c r="J249" s="21" t="str">
        <f aca="false">IF(A249="","",MONTH(A249))</f>
        <v/>
      </c>
    </row>
    <row r="250" customFormat="false" ht="15" hidden="false" customHeight="false" outlineLevel="0" collapsed="false">
      <c r="A250" s="19"/>
      <c r="B250" s="7"/>
      <c r="C250" s="7"/>
      <c r="D250" s="7"/>
      <c r="E250" s="17"/>
      <c r="F250" s="17"/>
      <c r="G250" s="7"/>
      <c r="H250" s="20" t="n">
        <f aca="false">IF(G250="Card",ROUND((E250+F250)*Settings!$B$8+Settings!$B$9,2),0)</f>
        <v>0</v>
      </c>
      <c r="I250" s="20" t="str">
        <f aca="false">IF(A250="","",E250+F250-H250)</f>
        <v/>
      </c>
      <c r="J250" s="21" t="str">
        <f aca="false">IF(A250="","",MONTH(A250))</f>
        <v/>
      </c>
    </row>
    <row r="251" customFormat="false" ht="15" hidden="false" customHeight="false" outlineLevel="0" collapsed="false">
      <c r="A251" s="19"/>
      <c r="B251" s="7"/>
      <c r="C251" s="7"/>
      <c r="D251" s="7"/>
      <c r="E251" s="17"/>
      <c r="F251" s="17"/>
      <c r="G251" s="7"/>
      <c r="H251" s="20" t="n">
        <f aca="false">IF(G251="Card",ROUND((E251+F251)*Settings!$B$8+Settings!$B$9,2),0)</f>
        <v>0</v>
      </c>
      <c r="I251" s="20" t="str">
        <f aca="false">IF(A251="","",E251+F251-H251)</f>
        <v/>
      </c>
      <c r="J251" s="21" t="str">
        <f aca="false">IF(A251="","",MONTH(A251))</f>
        <v/>
      </c>
    </row>
    <row r="252" customFormat="false" ht="15" hidden="false" customHeight="false" outlineLevel="0" collapsed="false">
      <c r="A252" s="19"/>
      <c r="B252" s="7"/>
      <c r="C252" s="7"/>
      <c r="D252" s="7"/>
      <c r="E252" s="17"/>
      <c r="F252" s="17"/>
      <c r="G252" s="7"/>
      <c r="H252" s="20" t="n">
        <f aca="false">IF(G252="Card",ROUND((E252+F252)*Settings!$B$8+Settings!$B$9,2),0)</f>
        <v>0</v>
      </c>
      <c r="I252" s="20" t="str">
        <f aca="false">IF(A252="","",E252+F252-H252)</f>
        <v/>
      </c>
      <c r="J252" s="21" t="str">
        <f aca="false">IF(A252="","",MONTH(A252))</f>
        <v/>
      </c>
    </row>
    <row r="253" customFormat="false" ht="15" hidden="false" customHeight="false" outlineLevel="0" collapsed="false">
      <c r="A253" s="19"/>
      <c r="B253" s="7"/>
      <c r="C253" s="7"/>
      <c r="D253" s="7"/>
      <c r="E253" s="17"/>
      <c r="F253" s="17"/>
      <c r="G253" s="7"/>
      <c r="H253" s="20" t="n">
        <f aca="false">IF(G253="Card",ROUND((E253+F253)*Settings!$B$8+Settings!$B$9,2),0)</f>
        <v>0</v>
      </c>
      <c r="I253" s="20" t="str">
        <f aca="false">IF(A253="","",E253+F253-H253)</f>
        <v/>
      </c>
      <c r="J253" s="21" t="str">
        <f aca="false">IF(A253="","",MONTH(A253))</f>
        <v/>
      </c>
    </row>
    <row r="254" customFormat="false" ht="15" hidden="false" customHeight="false" outlineLevel="0" collapsed="false">
      <c r="A254" s="19"/>
      <c r="B254" s="7"/>
      <c r="C254" s="7"/>
      <c r="D254" s="7"/>
      <c r="E254" s="17"/>
      <c r="F254" s="17"/>
      <c r="G254" s="7"/>
      <c r="H254" s="20" t="n">
        <f aca="false">IF(G254="Card",ROUND((E254+F254)*Settings!$B$8+Settings!$B$9,2),0)</f>
        <v>0</v>
      </c>
      <c r="I254" s="20" t="str">
        <f aca="false">IF(A254="","",E254+F254-H254)</f>
        <v/>
      </c>
      <c r="J254" s="21" t="str">
        <f aca="false">IF(A254="","",MONTH(A254))</f>
        <v/>
      </c>
    </row>
    <row r="255" customFormat="false" ht="15" hidden="false" customHeight="false" outlineLevel="0" collapsed="false">
      <c r="A255" s="19"/>
      <c r="B255" s="7"/>
      <c r="C255" s="7"/>
      <c r="D255" s="7"/>
      <c r="E255" s="17"/>
      <c r="F255" s="17"/>
      <c r="G255" s="7"/>
      <c r="H255" s="20" t="n">
        <f aca="false">IF(G255="Card",ROUND((E255+F255)*Settings!$B$8+Settings!$B$9,2),0)</f>
        <v>0</v>
      </c>
      <c r="I255" s="20" t="str">
        <f aca="false">IF(A255="","",E255+F255-H255)</f>
        <v/>
      </c>
      <c r="J255" s="21" t="str">
        <f aca="false">IF(A255="","",MONTH(A255))</f>
        <v/>
      </c>
    </row>
    <row r="256" customFormat="false" ht="15" hidden="false" customHeight="false" outlineLevel="0" collapsed="false">
      <c r="A256" s="19"/>
      <c r="B256" s="7"/>
      <c r="C256" s="7"/>
      <c r="D256" s="7"/>
      <c r="E256" s="17"/>
      <c r="F256" s="17"/>
      <c r="G256" s="7"/>
      <c r="H256" s="20" t="n">
        <f aca="false">IF(G256="Card",ROUND((E256+F256)*Settings!$B$8+Settings!$B$9,2),0)</f>
        <v>0</v>
      </c>
      <c r="I256" s="20" t="str">
        <f aca="false">IF(A256="","",E256+F256-H256)</f>
        <v/>
      </c>
      <c r="J256" s="21" t="str">
        <f aca="false">IF(A256="","",MONTH(A256))</f>
        <v/>
      </c>
    </row>
    <row r="257" customFormat="false" ht="15" hidden="false" customHeight="false" outlineLevel="0" collapsed="false">
      <c r="A257" s="19"/>
      <c r="B257" s="7"/>
      <c r="C257" s="7"/>
      <c r="D257" s="7"/>
      <c r="E257" s="17"/>
      <c r="F257" s="17"/>
      <c r="G257" s="7"/>
      <c r="H257" s="20" t="n">
        <f aca="false">IF(G257="Card",ROUND((E257+F257)*Settings!$B$8+Settings!$B$9,2),0)</f>
        <v>0</v>
      </c>
      <c r="I257" s="20" t="str">
        <f aca="false">IF(A257="","",E257+F257-H257)</f>
        <v/>
      </c>
      <c r="J257" s="21" t="str">
        <f aca="false">IF(A257="","",MONTH(A257))</f>
        <v/>
      </c>
    </row>
    <row r="258" customFormat="false" ht="15" hidden="false" customHeight="false" outlineLevel="0" collapsed="false">
      <c r="A258" s="19"/>
      <c r="B258" s="7"/>
      <c r="C258" s="7"/>
      <c r="D258" s="7"/>
      <c r="E258" s="17"/>
      <c r="F258" s="17"/>
      <c r="G258" s="7"/>
      <c r="H258" s="20" t="n">
        <f aca="false">IF(G258="Card",ROUND((E258+F258)*Settings!$B$8+Settings!$B$9,2),0)</f>
        <v>0</v>
      </c>
      <c r="I258" s="20" t="str">
        <f aca="false">IF(A258="","",E258+F258-H258)</f>
        <v/>
      </c>
      <c r="J258" s="21" t="str">
        <f aca="false">IF(A258="","",MONTH(A258))</f>
        <v/>
      </c>
    </row>
    <row r="259" customFormat="false" ht="15" hidden="false" customHeight="false" outlineLevel="0" collapsed="false">
      <c r="A259" s="19"/>
      <c r="B259" s="7"/>
      <c r="C259" s="7"/>
      <c r="D259" s="7"/>
      <c r="E259" s="17"/>
      <c r="F259" s="17"/>
      <c r="G259" s="7"/>
      <c r="H259" s="20" t="n">
        <f aca="false">IF(G259="Card",ROUND((E259+F259)*Settings!$B$8+Settings!$B$9,2),0)</f>
        <v>0</v>
      </c>
      <c r="I259" s="20" t="str">
        <f aca="false">IF(A259="","",E259+F259-H259)</f>
        <v/>
      </c>
      <c r="J259" s="21" t="str">
        <f aca="false">IF(A259="","",MONTH(A259))</f>
        <v/>
      </c>
    </row>
    <row r="260" customFormat="false" ht="15" hidden="false" customHeight="false" outlineLevel="0" collapsed="false">
      <c r="A260" s="19"/>
      <c r="B260" s="7"/>
      <c r="C260" s="7"/>
      <c r="D260" s="7"/>
      <c r="E260" s="17"/>
      <c r="F260" s="17"/>
      <c r="G260" s="7"/>
      <c r="H260" s="20" t="n">
        <f aca="false">IF(G260="Card",ROUND((E260+F260)*Settings!$B$8+Settings!$B$9,2),0)</f>
        <v>0</v>
      </c>
      <c r="I260" s="20" t="str">
        <f aca="false">IF(A260="","",E260+F260-H260)</f>
        <v/>
      </c>
      <c r="J260" s="21" t="str">
        <f aca="false">IF(A260="","",MONTH(A260))</f>
        <v/>
      </c>
    </row>
    <row r="261" customFormat="false" ht="15" hidden="false" customHeight="false" outlineLevel="0" collapsed="false">
      <c r="A261" s="19"/>
      <c r="B261" s="7"/>
      <c r="C261" s="7"/>
      <c r="D261" s="7"/>
      <c r="E261" s="17"/>
      <c r="F261" s="17"/>
      <c r="G261" s="7"/>
      <c r="H261" s="20" t="n">
        <f aca="false">IF(G261="Card",ROUND((E261+F261)*Settings!$B$8+Settings!$B$9,2),0)</f>
        <v>0</v>
      </c>
      <c r="I261" s="20" t="str">
        <f aca="false">IF(A261="","",E261+F261-H261)</f>
        <v/>
      </c>
      <c r="J261" s="21" t="str">
        <f aca="false">IF(A261="","",MONTH(A261))</f>
        <v/>
      </c>
    </row>
    <row r="262" customFormat="false" ht="15" hidden="false" customHeight="false" outlineLevel="0" collapsed="false">
      <c r="A262" s="19"/>
      <c r="B262" s="7"/>
      <c r="C262" s="7"/>
      <c r="D262" s="7"/>
      <c r="E262" s="17"/>
      <c r="F262" s="17"/>
      <c r="G262" s="7"/>
      <c r="H262" s="20" t="n">
        <f aca="false">IF(G262="Card",ROUND((E262+F262)*Settings!$B$8+Settings!$B$9,2),0)</f>
        <v>0</v>
      </c>
      <c r="I262" s="20" t="str">
        <f aca="false">IF(A262="","",E262+F262-H262)</f>
        <v/>
      </c>
      <c r="J262" s="21" t="str">
        <f aca="false">IF(A262="","",MONTH(A262))</f>
        <v/>
      </c>
    </row>
    <row r="263" customFormat="false" ht="15" hidden="false" customHeight="false" outlineLevel="0" collapsed="false">
      <c r="A263" s="19"/>
      <c r="B263" s="7"/>
      <c r="C263" s="7"/>
      <c r="D263" s="7"/>
      <c r="E263" s="17"/>
      <c r="F263" s="17"/>
      <c r="G263" s="7"/>
      <c r="H263" s="20" t="n">
        <f aca="false">IF(G263="Card",ROUND((E263+F263)*Settings!$B$8+Settings!$B$9,2),0)</f>
        <v>0</v>
      </c>
      <c r="I263" s="20" t="str">
        <f aca="false">IF(A263="","",E263+F263-H263)</f>
        <v/>
      </c>
      <c r="J263" s="21" t="str">
        <f aca="false">IF(A263="","",MONTH(A263))</f>
        <v/>
      </c>
    </row>
    <row r="264" customFormat="false" ht="15" hidden="false" customHeight="false" outlineLevel="0" collapsed="false">
      <c r="A264" s="19"/>
      <c r="B264" s="7"/>
      <c r="C264" s="7"/>
      <c r="D264" s="7"/>
      <c r="E264" s="17"/>
      <c r="F264" s="17"/>
      <c r="G264" s="7"/>
      <c r="H264" s="20" t="n">
        <f aca="false">IF(G264="Card",ROUND((E264+F264)*Settings!$B$8+Settings!$B$9,2),0)</f>
        <v>0</v>
      </c>
      <c r="I264" s="20" t="str">
        <f aca="false">IF(A264="","",E264+F264-H264)</f>
        <v/>
      </c>
      <c r="J264" s="21" t="str">
        <f aca="false">IF(A264="","",MONTH(A264))</f>
        <v/>
      </c>
    </row>
    <row r="265" customFormat="false" ht="15" hidden="false" customHeight="false" outlineLevel="0" collapsed="false">
      <c r="A265" s="19"/>
      <c r="B265" s="7"/>
      <c r="C265" s="7"/>
      <c r="D265" s="7"/>
      <c r="E265" s="17"/>
      <c r="F265" s="17"/>
      <c r="G265" s="7"/>
      <c r="H265" s="20" t="n">
        <f aca="false">IF(G265="Card",ROUND((E265+F265)*Settings!$B$8+Settings!$B$9,2),0)</f>
        <v>0</v>
      </c>
      <c r="I265" s="20" t="str">
        <f aca="false">IF(A265="","",E265+F265-H265)</f>
        <v/>
      </c>
      <c r="J265" s="21" t="str">
        <f aca="false">IF(A265="","",MONTH(A265))</f>
        <v/>
      </c>
    </row>
    <row r="266" customFormat="false" ht="15" hidden="false" customHeight="false" outlineLevel="0" collapsed="false">
      <c r="A266" s="19"/>
      <c r="B266" s="7"/>
      <c r="C266" s="7"/>
      <c r="D266" s="7"/>
      <c r="E266" s="17"/>
      <c r="F266" s="17"/>
      <c r="G266" s="7"/>
      <c r="H266" s="20" t="n">
        <f aca="false">IF(G266="Card",ROUND((E266+F266)*Settings!$B$8+Settings!$B$9,2),0)</f>
        <v>0</v>
      </c>
      <c r="I266" s="20" t="str">
        <f aca="false">IF(A266="","",E266+F266-H266)</f>
        <v/>
      </c>
      <c r="J266" s="21" t="str">
        <f aca="false">IF(A266="","",MONTH(A266))</f>
        <v/>
      </c>
    </row>
    <row r="267" customFormat="false" ht="15" hidden="false" customHeight="false" outlineLevel="0" collapsed="false">
      <c r="A267" s="19"/>
      <c r="B267" s="7"/>
      <c r="C267" s="7"/>
      <c r="D267" s="7"/>
      <c r="E267" s="17"/>
      <c r="F267" s="17"/>
      <c r="G267" s="7"/>
      <c r="H267" s="20" t="n">
        <f aca="false">IF(G267="Card",ROUND((E267+F267)*Settings!$B$8+Settings!$B$9,2),0)</f>
        <v>0</v>
      </c>
      <c r="I267" s="20" t="str">
        <f aca="false">IF(A267="","",E267+F267-H267)</f>
        <v/>
      </c>
      <c r="J267" s="21" t="str">
        <f aca="false">IF(A267="","",MONTH(A267))</f>
        <v/>
      </c>
    </row>
    <row r="268" customFormat="false" ht="15" hidden="false" customHeight="false" outlineLevel="0" collapsed="false">
      <c r="A268" s="19"/>
      <c r="B268" s="7"/>
      <c r="C268" s="7"/>
      <c r="D268" s="7"/>
      <c r="E268" s="17"/>
      <c r="F268" s="17"/>
      <c r="G268" s="7"/>
      <c r="H268" s="20" t="n">
        <f aca="false">IF(G268="Card",ROUND((E268+F268)*Settings!$B$8+Settings!$B$9,2),0)</f>
        <v>0</v>
      </c>
      <c r="I268" s="20" t="str">
        <f aca="false">IF(A268="","",E268+F268-H268)</f>
        <v/>
      </c>
      <c r="J268" s="21" t="str">
        <f aca="false">IF(A268="","",MONTH(A268))</f>
        <v/>
      </c>
    </row>
    <row r="269" customFormat="false" ht="15" hidden="false" customHeight="false" outlineLevel="0" collapsed="false">
      <c r="A269" s="19"/>
      <c r="B269" s="7"/>
      <c r="C269" s="7"/>
      <c r="D269" s="7"/>
      <c r="E269" s="17"/>
      <c r="F269" s="17"/>
      <c r="G269" s="7"/>
      <c r="H269" s="20" t="n">
        <f aca="false">IF(G269="Card",ROUND((E269+F269)*Settings!$B$8+Settings!$B$9,2),0)</f>
        <v>0</v>
      </c>
      <c r="I269" s="20" t="str">
        <f aca="false">IF(A269="","",E269+F269-H269)</f>
        <v/>
      </c>
      <c r="J269" s="21" t="str">
        <f aca="false">IF(A269="","",MONTH(A269))</f>
        <v/>
      </c>
    </row>
    <row r="270" customFormat="false" ht="15" hidden="false" customHeight="false" outlineLevel="0" collapsed="false">
      <c r="A270" s="19"/>
      <c r="B270" s="7"/>
      <c r="C270" s="7"/>
      <c r="D270" s="7"/>
      <c r="E270" s="17"/>
      <c r="F270" s="17"/>
      <c r="G270" s="7"/>
      <c r="H270" s="20" t="n">
        <f aca="false">IF(G270="Card",ROUND((E270+F270)*Settings!$B$8+Settings!$B$9,2),0)</f>
        <v>0</v>
      </c>
      <c r="I270" s="20" t="str">
        <f aca="false">IF(A270="","",E270+F270-H270)</f>
        <v/>
      </c>
      <c r="J270" s="21" t="str">
        <f aca="false">IF(A270="","",MONTH(A270))</f>
        <v/>
      </c>
    </row>
    <row r="271" customFormat="false" ht="15" hidden="false" customHeight="false" outlineLevel="0" collapsed="false">
      <c r="A271" s="19"/>
      <c r="B271" s="7"/>
      <c r="C271" s="7"/>
      <c r="D271" s="7"/>
      <c r="E271" s="17"/>
      <c r="F271" s="17"/>
      <c r="G271" s="7"/>
      <c r="H271" s="20" t="n">
        <f aca="false">IF(G271="Card",ROUND((E271+F271)*Settings!$B$8+Settings!$B$9,2),0)</f>
        <v>0</v>
      </c>
      <c r="I271" s="20" t="str">
        <f aca="false">IF(A271="","",E271+F271-H271)</f>
        <v/>
      </c>
      <c r="J271" s="21" t="str">
        <f aca="false">IF(A271="","",MONTH(A271))</f>
        <v/>
      </c>
    </row>
    <row r="272" customFormat="false" ht="15" hidden="false" customHeight="false" outlineLevel="0" collapsed="false">
      <c r="A272" s="19"/>
      <c r="B272" s="7"/>
      <c r="C272" s="7"/>
      <c r="D272" s="7"/>
      <c r="E272" s="17"/>
      <c r="F272" s="17"/>
      <c r="G272" s="7"/>
      <c r="H272" s="20" t="n">
        <f aca="false">IF(G272="Card",ROUND((E272+F272)*Settings!$B$8+Settings!$B$9,2),0)</f>
        <v>0</v>
      </c>
      <c r="I272" s="20" t="str">
        <f aca="false">IF(A272="","",E272+F272-H272)</f>
        <v/>
      </c>
      <c r="J272" s="21" t="str">
        <f aca="false">IF(A272="","",MONTH(A272))</f>
        <v/>
      </c>
    </row>
    <row r="273" customFormat="false" ht="15" hidden="false" customHeight="false" outlineLevel="0" collapsed="false">
      <c r="A273" s="19"/>
      <c r="B273" s="7"/>
      <c r="C273" s="7"/>
      <c r="D273" s="7"/>
      <c r="E273" s="17"/>
      <c r="F273" s="17"/>
      <c r="G273" s="7"/>
      <c r="H273" s="20" t="n">
        <f aca="false">IF(G273="Card",ROUND((E273+F273)*Settings!$B$8+Settings!$B$9,2),0)</f>
        <v>0</v>
      </c>
      <c r="I273" s="20" t="str">
        <f aca="false">IF(A273="","",E273+F273-H273)</f>
        <v/>
      </c>
      <c r="J273" s="21" t="str">
        <f aca="false">IF(A273="","",MONTH(A273))</f>
        <v/>
      </c>
    </row>
    <row r="274" customFormat="false" ht="15" hidden="false" customHeight="false" outlineLevel="0" collapsed="false">
      <c r="A274" s="19"/>
      <c r="B274" s="7"/>
      <c r="C274" s="7"/>
      <c r="D274" s="7"/>
      <c r="E274" s="17"/>
      <c r="F274" s="17"/>
      <c r="G274" s="7"/>
      <c r="H274" s="20" t="n">
        <f aca="false">IF(G274="Card",ROUND((E274+F274)*Settings!$B$8+Settings!$B$9,2),0)</f>
        <v>0</v>
      </c>
      <c r="I274" s="20" t="str">
        <f aca="false">IF(A274="","",E274+F274-H274)</f>
        <v/>
      </c>
      <c r="J274" s="21" t="str">
        <f aca="false">IF(A274="","",MONTH(A274))</f>
        <v/>
      </c>
    </row>
    <row r="275" customFormat="false" ht="15" hidden="false" customHeight="false" outlineLevel="0" collapsed="false">
      <c r="A275" s="19"/>
      <c r="B275" s="7"/>
      <c r="C275" s="7"/>
      <c r="D275" s="7"/>
      <c r="E275" s="17"/>
      <c r="F275" s="17"/>
      <c r="G275" s="7"/>
      <c r="H275" s="20" t="n">
        <f aca="false">IF(G275="Card",ROUND((E275+F275)*Settings!$B$8+Settings!$B$9,2),0)</f>
        <v>0</v>
      </c>
      <c r="I275" s="20" t="str">
        <f aca="false">IF(A275="","",E275+F275-H275)</f>
        <v/>
      </c>
      <c r="J275" s="21" t="str">
        <f aca="false">IF(A275="","",MONTH(A275))</f>
        <v/>
      </c>
    </row>
    <row r="276" customFormat="false" ht="15" hidden="false" customHeight="false" outlineLevel="0" collapsed="false">
      <c r="A276" s="19"/>
      <c r="B276" s="7"/>
      <c r="C276" s="7"/>
      <c r="D276" s="7"/>
      <c r="E276" s="17"/>
      <c r="F276" s="17"/>
      <c r="G276" s="7"/>
      <c r="H276" s="20" t="n">
        <f aca="false">IF(G276="Card",ROUND((E276+F276)*Settings!$B$8+Settings!$B$9,2),0)</f>
        <v>0</v>
      </c>
      <c r="I276" s="20" t="str">
        <f aca="false">IF(A276="","",E276+F276-H276)</f>
        <v/>
      </c>
      <c r="J276" s="21" t="str">
        <f aca="false">IF(A276="","",MONTH(A276))</f>
        <v/>
      </c>
    </row>
    <row r="277" customFormat="false" ht="15" hidden="false" customHeight="false" outlineLevel="0" collapsed="false">
      <c r="A277" s="19"/>
      <c r="B277" s="7"/>
      <c r="C277" s="7"/>
      <c r="D277" s="7"/>
      <c r="E277" s="17"/>
      <c r="F277" s="17"/>
      <c r="G277" s="7"/>
      <c r="H277" s="20" t="n">
        <f aca="false">IF(G277="Card",ROUND((E277+F277)*Settings!$B$8+Settings!$B$9,2),0)</f>
        <v>0</v>
      </c>
      <c r="I277" s="20" t="str">
        <f aca="false">IF(A277="","",E277+F277-H277)</f>
        <v/>
      </c>
      <c r="J277" s="21" t="str">
        <f aca="false">IF(A277="","",MONTH(A277))</f>
        <v/>
      </c>
    </row>
    <row r="278" customFormat="false" ht="15" hidden="false" customHeight="false" outlineLevel="0" collapsed="false">
      <c r="A278" s="19"/>
      <c r="B278" s="7"/>
      <c r="C278" s="7"/>
      <c r="D278" s="7"/>
      <c r="E278" s="17"/>
      <c r="F278" s="17"/>
      <c r="G278" s="7"/>
      <c r="H278" s="20" t="n">
        <f aca="false">IF(G278="Card",ROUND((E278+F278)*Settings!$B$8+Settings!$B$9,2),0)</f>
        <v>0</v>
      </c>
      <c r="I278" s="20" t="str">
        <f aca="false">IF(A278="","",E278+F278-H278)</f>
        <v/>
      </c>
      <c r="J278" s="21" t="str">
        <f aca="false">IF(A278="","",MONTH(A278))</f>
        <v/>
      </c>
    </row>
    <row r="279" customFormat="false" ht="15" hidden="false" customHeight="false" outlineLevel="0" collapsed="false">
      <c r="A279" s="19"/>
      <c r="B279" s="7"/>
      <c r="C279" s="7"/>
      <c r="D279" s="7"/>
      <c r="E279" s="17"/>
      <c r="F279" s="17"/>
      <c r="G279" s="7"/>
      <c r="H279" s="20" t="n">
        <f aca="false">IF(G279="Card",ROUND((E279+F279)*Settings!$B$8+Settings!$B$9,2),0)</f>
        <v>0</v>
      </c>
      <c r="I279" s="20" t="str">
        <f aca="false">IF(A279="","",E279+F279-H279)</f>
        <v/>
      </c>
      <c r="J279" s="21" t="str">
        <f aca="false">IF(A279="","",MONTH(A279))</f>
        <v/>
      </c>
    </row>
    <row r="280" customFormat="false" ht="15" hidden="false" customHeight="false" outlineLevel="0" collapsed="false">
      <c r="A280" s="19"/>
      <c r="B280" s="7"/>
      <c r="C280" s="7"/>
      <c r="D280" s="7"/>
      <c r="E280" s="17"/>
      <c r="F280" s="17"/>
      <c r="G280" s="7"/>
      <c r="H280" s="20" t="n">
        <f aca="false">IF(G280="Card",ROUND((E280+F280)*Settings!$B$8+Settings!$B$9,2),0)</f>
        <v>0</v>
      </c>
      <c r="I280" s="20" t="str">
        <f aca="false">IF(A280="","",E280+F280-H280)</f>
        <v/>
      </c>
      <c r="J280" s="21" t="str">
        <f aca="false">IF(A280="","",MONTH(A280))</f>
        <v/>
      </c>
    </row>
    <row r="281" customFormat="false" ht="15" hidden="false" customHeight="false" outlineLevel="0" collapsed="false">
      <c r="A281" s="19"/>
      <c r="B281" s="7"/>
      <c r="C281" s="7"/>
      <c r="D281" s="7"/>
      <c r="E281" s="17"/>
      <c r="F281" s="17"/>
      <c r="G281" s="7"/>
      <c r="H281" s="20" t="n">
        <f aca="false">IF(G281="Card",ROUND((E281+F281)*Settings!$B$8+Settings!$B$9,2),0)</f>
        <v>0</v>
      </c>
      <c r="I281" s="20" t="str">
        <f aca="false">IF(A281="","",E281+F281-H281)</f>
        <v/>
      </c>
      <c r="J281" s="21" t="str">
        <f aca="false">IF(A281="","",MONTH(A281))</f>
        <v/>
      </c>
    </row>
    <row r="282" customFormat="false" ht="15" hidden="false" customHeight="false" outlineLevel="0" collapsed="false">
      <c r="A282" s="19"/>
      <c r="B282" s="7"/>
      <c r="C282" s="7"/>
      <c r="D282" s="7"/>
      <c r="E282" s="17"/>
      <c r="F282" s="17"/>
      <c r="G282" s="7"/>
      <c r="H282" s="20" t="n">
        <f aca="false">IF(G282="Card",ROUND((E282+F282)*Settings!$B$8+Settings!$B$9,2),0)</f>
        <v>0</v>
      </c>
      <c r="I282" s="20" t="str">
        <f aca="false">IF(A282="","",E282+F282-H282)</f>
        <v/>
      </c>
      <c r="J282" s="21" t="str">
        <f aca="false">IF(A282="","",MONTH(A282))</f>
        <v/>
      </c>
    </row>
    <row r="283" customFormat="false" ht="15" hidden="false" customHeight="false" outlineLevel="0" collapsed="false">
      <c r="A283" s="19"/>
      <c r="B283" s="7"/>
      <c r="C283" s="7"/>
      <c r="D283" s="7"/>
      <c r="E283" s="17"/>
      <c r="F283" s="17"/>
      <c r="G283" s="7"/>
      <c r="H283" s="20" t="n">
        <f aca="false">IF(G283="Card",ROUND((E283+F283)*Settings!$B$8+Settings!$B$9,2),0)</f>
        <v>0</v>
      </c>
      <c r="I283" s="20" t="str">
        <f aca="false">IF(A283="","",E283+F283-H283)</f>
        <v/>
      </c>
      <c r="J283" s="21" t="str">
        <f aca="false">IF(A283="","",MONTH(A283))</f>
        <v/>
      </c>
    </row>
    <row r="284" customFormat="false" ht="15" hidden="false" customHeight="false" outlineLevel="0" collapsed="false">
      <c r="A284" s="19"/>
      <c r="B284" s="7"/>
      <c r="C284" s="7"/>
      <c r="D284" s="7"/>
      <c r="E284" s="17"/>
      <c r="F284" s="17"/>
      <c r="G284" s="7"/>
      <c r="H284" s="20" t="n">
        <f aca="false">IF(G284="Card",ROUND((E284+F284)*Settings!$B$8+Settings!$B$9,2),0)</f>
        <v>0</v>
      </c>
      <c r="I284" s="20" t="str">
        <f aca="false">IF(A284="","",E284+F284-H284)</f>
        <v/>
      </c>
      <c r="J284" s="21" t="str">
        <f aca="false">IF(A284="","",MONTH(A284))</f>
        <v/>
      </c>
    </row>
    <row r="285" customFormat="false" ht="15" hidden="false" customHeight="false" outlineLevel="0" collapsed="false">
      <c r="A285" s="19"/>
      <c r="B285" s="7"/>
      <c r="C285" s="7"/>
      <c r="D285" s="7"/>
      <c r="E285" s="17"/>
      <c r="F285" s="17"/>
      <c r="G285" s="7"/>
      <c r="H285" s="20" t="n">
        <f aca="false">IF(G285="Card",ROUND((E285+F285)*Settings!$B$8+Settings!$B$9,2),0)</f>
        <v>0</v>
      </c>
      <c r="I285" s="20" t="str">
        <f aca="false">IF(A285="","",E285+F285-H285)</f>
        <v/>
      </c>
      <c r="J285" s="21" t="str">
        <f aca="false">IF(A285="","",MONTH(A285))</f>
        <v/>
      </c>
    </row>
    <row r="286" customFormat="false" ht="15" hidden="false" customHeight="false" outlineLevel="0" collapsed="false">
      <c r="A286" s="19"/>
      <c r="B286" s="7"/>
      <c r="C286" s="7"/>
      <c r="D286" s="7"/>
      <c r="E286" s="17"/>
      <c r="F286" s="17"/>
      <c r="G286" s="7"/>
      <c r="H286" s="20" t="n">
        <f aca="false">IF(G286="Card",ROUND((E286+F286)*Settings!$B$8+Settings!$B$9,2),0)</f>
        <v>0</v>
      </c>
      <c r="I286" s="20" t="str">
        <f aca="false">IF(A286="","",E286+F286-H286)</f>
        <v/>
      </c>
      <c r="J286" s="21" t="str">
        <f aca="false">IF(A286="","",MONTH(A286))</f>
        <v/>
      </c>
    </row>
    <row r="287" customFormat="false" ht="15" hidden="false" customHeight="false" outlineLevel="0" collapsed="false">
      <c r="A287" s="19"/>
      <c r="B287" s="7"/>
      <c r="C287" s="7"/>
      <c r="D287" s="7"/>
      <c r="E287" s="17"/>
      <c r="F287" s="17"/>
      <c r="G287" s="7"/>
      <c r="H287" s="20" t="n">
        <f aca="false">IF(G287="Card",ROUND((E287+F287)*Settings!$B$8+Settings!$B$9,2),0)</f>
        <v>0</v>
      </c>
      <c r="I287" s="20" t="str">
        <f aca="false">IF(A287="","",E287+F287-H287)</f>
        <v/>
      </c>
      <c r="J287" s="21" t="str">
        <f aca="false">IF(A287="","",MONTH(A287))</f>
        <v/>
      </c>
    </row>
    <row r="288" customFormat="false" ht="15" hidden="false" customHeight="false" outlineLevel="0" collapsed="false">
      <c r="A288" s="19"/>
      <c r="B288" s="7"/>
      <c r="C288" s="7"/>
      <c r="D288" s="7"/>
      <c r="E288" s="17"/>
      <c r="F288" s="17"/>
      <c r="G288" s="7"/>
      <c r="H288" s="20" t="n">
        <f aca="false">IF(G288="Card",ROUND((E288+F288)*Settings!$B$8+Settings!$B$9,2),0)</f>
        <v>0</v>
      </c>
      <c r="I288" s="20" t="str">
        <f aca="false">IF(A288="","",E288+F288-H288)</f>
        <v/>
      </c>
      <c r="J288" s="21" t="str">
        <f aca="false">IF(A288="","",MONTH(A288))</f>
        <v/>
      </c>
    </row>
    <row r="289" customFormat="false" ht="15" hidden="false" customHeight="false" outlineLevel="0" collapsed="false">
      <c r="A289" s="19"/>
      <c r="B289" s="7"/>
      <c r="C289" s="7"/>
      <c r="D289" s="7"/>
      <c r="E289" s="17"/>
      <c r="F289" s="17"/>
      <c r="G289" s="7"/>
      <c r="H289" s="20" t="n">
        <f aca="false">IF(G289="Card",ROUND((E289+F289)*Settings!$B$8+Settings!$B$9,2),0)</f>
        <v>0</v>
      </c>
      <c r="I289" s="20" t="str">
        <f aca="false">IF(A289="","",E289+F289-H289)</f>
        <v/>
      </c>
      <c r="J289" s="21" t="str">
        <f aca="false">IF(A289="","",MONTH(A289))</f>
        <v/>
      </c>
    </row>
    <row r="290" customFormat="false" ht="15" hidden="false" customHeight="false" outlineLevel="0" collapsed="false">
      <c r="A290" s="19"/>
      <c r="B290" s="7"/>
      <c r="C290" s="7"/>
      <c r="D290" s="7"/>
      <c r="E290" s="17"/>
      <c r="F290" s="17"/>
      <c r="G290" s="7"/>
      <c r="H290" s="20" t="n">
        <f aca="false">IF(G290="Card",ROUND((E290+F290)*Settings!$B$8+Settings!$B$9,2),0)</f>
        <v>0</v>
      </c>
      <c r="I290" s="20" t="str">
        <f aca="false">IF(A290="","",E290+F290-H290)</f>
        <v/>
      </c>
      <c r="J290" s="21" t="str">
        <f aca="false">IF(A290="","",MONTH(A290))</f>
        <v/>
      </c>
    </row>
    <row r="291" customFormat="false" ht="15" hidden="false" customHeight="false" outlineLevel="0" collapsed="false">
      <c r="A291" s="19"/>
      <c r="B291" s="7"/>
      <c r="C291" s="7"/>
      <c r="D291" s="7"/>
      <c r="E291" s="17"/>
      <c r="F291" s="17"/>
      <c r="G291" s="7"/>
      <c r="H291" s="20" t="n">
        <f aca="false">IF(G291="Card",ROUND((E291+F291)*Settings!$B$8+Settings!$B$9,2),0)</f>
        <v>0</v>
      </c>
      <c r="I291" s="20" t="str">
        <f aca="false">IF(A291="","",E291+F291-H291)</f>
        <v/>
      </c>
      <c r="J291" s="21" t="str">
        <f aca="false">IF(A291="","",MONTH(A291))</f>
        <v/>
      </c>
    </row>
    <row r="292" customFormat="false" ht="15" hidden="false" customHeight="false" outlineLevel="0" collapsed="false">
      <c r="A292" s="19"/>
      <c r="B292" s="7"/>
      <c r="C292" s="7"/>
      <c r="D292" s="7"/>
      <c r="E292" s="17"/>
      <c r="F292" s="17"/>
      <c r="G292" s="7"/>
      <c r="H292" s="20" t="n">
        <f aca="false">IF(G292="Card",ROUND((E292+F292)*Settings!$B$8+Settings!$B$9,2),0)</f>
        <v>0</v>
      </c>
      <c r="I292" s="20" t="str">
        <f aca="false">IF(A292="","",E292+F292-H292)</f>
        <v/>
      </c>
      <c r="J292" s="21" t="str">
        <f aca="false">IF(A292="","",MONTH(A292))</f>
        <v/>
      </c>
    </row>
    <row r="293" customFormat="false" ht="15" hidden="false" customHeight="false" outlineLevel="0" collapsed="false">
      <c r="A293" s="19"/>
      <c r="B293" s="7"/>
      <c r="C293" s="7"/>
      <c r="D293" s="7"/>
      <c r="E293" s="17"/>
      <c r="F293" s="17"/>
      <c r="G293" s="7"/>
      <c r="H293" s="20" t="n">
        <f aca="false">IF(G293="Card",ROUND((E293+F293)*Settings!$B$8+Settings!$B$9,2),0)</f>
        <v>0</v>
      </c>
      <c r="I293" s="20" t="str">
        <f aca="false">IF(A293="","",E293+F293-H293)</f>
        <v/>
      </c>
      <c r="J293" s="21" t="str">
        <f aca="false">IF(A293="","",MONTH(A293))</f>
        <v/>
      </c>
    </row>
    <row r="294" customFormat="false" ht="15" hidden="false" customHeight="false" outlineLevel="0" collapsed="false">
      <c r="A294" s="19"/>
      <c r="B294" s="7"/>
      <c r="C294" s="7"/>
      <c r="D294" s="7"/>
      <c r="E294" s="17"/>
      <c r="F294" s="17"/>
      <c r="G294" s="7"/>
      <c r="H294" s="20" t="n">
        <f aca="false">IF(G294="Card",ROUND((E294+F294)*Settings!$B$8+Settings!$B$9,2),0)</f>
        <v>0</v>
      </c>
      <c r="I294" s="20" t="str">
        <f aca="false">IF(A294="","",E294+F294-H294)</f>
        <v/>
      </c>
      <c r="J294" s="21" t="str">
        <f aca="false">IF(A294="","",MONTH(A294))</f>
        <v/>
      </c>
    </row>
    <row r="295" customFormat="false" ht="15" hidden="false" customHeight="false" outlineLevel="0" collapsed="false">
      <c r="A295" s="19"/>
      <c r="B295" s="7"/>
      <c r="C295" s="7"/>
      <c r="D295" s="7"/>
      <c r="E295" s="17"/>
      <c r="F295" s="17"/>
      <c r="G295" s="7"/>
      <c r="H295" s="20" t="n">
        <f aca="false">IF(G295="Card",ROUND((E295+F295)*Settings!$B$8+Settings!$B$9,2),0)</f>
        <v>0</v>
      </c>
      <c r="I295" s="20" t="str">
        <f aca="false">IF(A295="","",E295+F295-H295)</f>
        <v/>
      </c>
      <c r="J295" s="21" t="str">
        <f aca="false">IF(A295="","",MONTH(A295))</f>
        <v/>
      </c>
    </row>
    <row r="296" customFormat="false" ht="15" hidden="false" customHeight="false" outlineLevel="0" collapsed="false">
      <c r="A296" s="19"/>
      <c r="B296" s="7"/>
      <c r="C296" s="7"/>
      <c r="D296" s="7"/>
      <c r="E296" s="17"/>
      <c r="F296" s="17"/>
      <c r="G296" s="7"/>
      <c r="H296" s="20" t="n">
        <f aca="false">IF(G296="Card",ROUND((E296+F296)*Settings!$B$8+Settings!$B$9,2),0)</f>
        <v>0</v>
      </c>
      <c r="I296" s="20" t="str">
        <f aca="false">IF(A296="","",E296+F296-H296)</f>
        <v/>
      </c>
      <c r="J296" s="21" t="str">
        <f aca="false">IF(A296="","",MONTH(A296))</f>
        <v/>
      </c>
    </row>
    <row r="297" customFormat="false" ht="15" hidden="false" customHeight="false" outlineLevel="0" collapsed="false">
      <c r="A297" s="19"/>
      <c r="B297" s="7"/>
      <c r="C297" s="7"/>
      <c r="D297" s="7"/>
      <c r="E297" s="17"/>
      <c r="F297" s="17"/>
      <c r="G297" s="7"/>
      <c r="H297" s="20" t="n">
        <f aca="false">IF(G297="Card",ROUND((E297+F297)*Settings!$B$8+Settings!$B$9,2),0)</f>
        <v>0</v>
      </c>
      <c r="I297" s="20" t="str">
        <f aca="false">IF(A297="","",E297+F297-H297)</f>
        <v/>
      </c>
      <c r="J297" s="21" t="str">
        <f aca="false">IF(A297="","",MONTH(A297))</f>
        <v/>
      </c>
    </row>
    <row r="298" customFormat="false" ht="15" hidden="false" customHeight="false" outlineLevel="0" collapsed="false">
      <c r="A298" s="19"/>
      <c r="B298" s="7"/>
      <c r="C298" s="7"/>
      <c r="D298" s="7"/>
      <c r="E298" s="17"/>
      <c r="F298" s="17"/>
      <c r="G298" s="7"/>
      <c r="H298" s="20" t="n">
        <f aca="false">IF(G298="Card",ROUND((E298+F298)*Settings!$B$8+Settings!$B$9,2),0)</f>
        <v>0</v>
      </c>
      <c r="I298" s="20" t="str">
        <f aca="false">IF(A298="","",E298+F298-H298)</f>
        <v/>
      </c>
      <c r="J298" s="21" t="str">
        <f aca="false">IF(A298="","",MONTH(A298))</f>
        <v/>
      </c>
    </row>
    <row r="299" customFormat="false" ht="15" hidden="false" customHeight="false" outlineLevel="0" collapsed="false">
      <c r="A299" s="19"/>
      <c r="B299" s="7"/>
      <c r="C299" s="7"/>
      <c r="D299" s="7"/>
      <c r="E299" s="17"/>
      <c r="F299" s="17"/>
      <c r="G299" s="7"/>
      <c r="H299" s="20" t="n">
        <f aca="false">IF(G299="Card",ROUND((E299+F299)*Settings!$B$8+Settings!$B$9,2),0)</f>
        <v>0</v>
      </c>
      <c r="I299" s="20" t="str">
        <f aca="false">IF(A299="","",E299+F299-H299)</f>
        <v/>
      </c>
      <c r="J299" s="21" t="str">
        <f aca="false">IF(A299="","",MONTH(A299))</f>
        <v/>
      </c>
    </row>
    <row r="300" customFormat="false" ht="15" hidden="false" customHeight="false" outlineLevel="0" collapsed="false">
      <c r="A300" s="19"/>
      <c r="B300" s="7"/>
      <c r="C300" s="7"/>
      <c r="D300" s="7"/>
      <c r="E300" s="17"/>
      <c r="F300" s="17"/>
      <c r="G300" s="7"/>
      <c r="H300" s="20" t="n">
        <f aca="false">IF(G300="Card",ROUND((E300+F300)*Settings!$B$8+Settings!$B$9,2),0)</f>
        <v>0</v>
      </c>
      <c r="I300" s="20" t="str">
        <f aca="false">IF(A300="","",E300+F300-H300)</f>
        <v/>
      </c>
      <c r="J300" s="21" t="str">
        <f aca="false">IF(A300="","",MONTH(A300))</f>
        <v/>
      </c>
    </row>
    <row r="301" customFormat="false" ht="15" hidden="false" customHeight="false" outlineLevel="0" collapsed="false">
      <c r="A301" s="19"/>
      <c r="B301" s="7"/>
      <c r="C301" s="7"/>
      <c r="D301" s="7"/>
      <c r="E301" s="17"/>
      <c r="F301" s="17"/>
      <c r="G301" s="7"/>
      <c r="H301" s="20" t="n">
        <f aca="false">IF(G301="Card",ROUND((E301+F301)*Settings!$B$8+Settings!$B$9,2),0)</f>
        <v>0</v>
      </c>
      <c r="I301" s="20" t="str">
        <f aca="false">IF(A301="","",E301+F301-H301)</f>
        <v/>
      </c>
      <c r="J301" s="21" t="str">
        <f aca="false">IF(A301="","",MONTH(A301))</f>
        <v/>
      </c>
    </row>
    <row r="302" customFormat="false" ht="15" hidden="false" customHeight="false" outlineLevel="0" collapsed="false">
      <c r="A302" s="19"/>
      <c r="B302" s="7"/>
      <c r="C302" s="7"/>
      <c r="D302" s="7"/>
      <c r="E302" s="17"/>
      <c r="F302" s="17"/>
      <c r="G302" s="7"/>
      <c r="H302" s="20" t="n">
        <f aca="false">IF(G302="Card",ROUND((E302+F302)*Settings!$B$8+Settings!$B$9,2),0)</f>
        <v>0</v>
      </c>
      <c r="I302" s="20" t="str">
        <f aca="false">IF(A302="","",E302+F302-H302)</f>
        <v/>
      </c>
      <c r="J302" s="21" t="str">
        <f aca="false">IF(A302="","",MONTH(A302))</f>
        <v/>
      </c>
    </row>
    <row r="303" customFormat="false" ht="15" hidden="false" customHeight="false" outlineLevel="0" collapsed="false">
      <c r="A303" s="19"/>
      <c r="B303" s="7"/>
      <c r="C303" s="7"/>
      <c r="D303" s="7"/>
      <c r="E303" s="17"/>
      <c r="F303" s="17"/>
      <c r="G303" s="7"/>
      <c r="H303" s="20" t="n">
        <f aca="false">IF(G303="Card",ROUND((E303+F303)*Settings!$B$8+Settings!$B$9,2),0)</f>
        <v>0</v>
      </c>
      <c r="I303" s="20" t="str">
        <f aca="false">IF(A303="","",E303+F303-H303)</f>
        <v/>
      </c>
      <c r="J303" s="21" t="str">
        <f aca="false">IF(A303="","",MONTH(A303))</f>
        <v/>
      </c>
    </row>
    <row r="304" customFormat="false" ht="15" hidden="false" customHeight="false" outlineLevel="0" collapsed="false">
      <c r="A304" s="19"/>
      <c r="B304" s="7"/>
      <c r="C304" s="7"/>
      <c r="D304" s="7"/>
      <c r="E304" s="17"/>
      <c r="F304" s="17"/>
      <c r="G304" s="7"/>
      <c r="H304" s="20" t="n">
        <f aca="false">IF(G304="Card",ROUND((E304+F304)*Settings!$B$8+Settings!$B$9,2),0)</f>
        <v>0</v>
      </c>
      <c r="I304" s="20" t="str">
        <f aca="false">IF(A304="","",E304+F304-H304)</f>
        <v/>
      </c>
      <c r="J304" s="21" t="str">
        <f aca="false">IF(A304="","",MONTH(A304))</f>
        <v/>
      </c>
    </row>
    <row r="305" customFormat="false" ht="15" hidden="false" customHeight="false" outlineLevel="0" collapsed="false">
      <c r="A305" s="19"/>
      <c r="B305" s="7"/>
      <c r="C305" s="7"/>
      <c r="D305" s="7"/>
      <c r="E305" s="17"/>
      <c r="F305" s="17"/>
      <c r="G305" s="7"/>
      <c r="H305" s="20" t="n">
        <f aca="false">IF(G305="Card",ROUND((E305+F305)*Settings!$B$8+Settings!$B$9,2),0)</f>
        <v>0</v>
      </c>
      <c r="I305" s="20" t="str">
        <f aca="false">IF(A305="","",E305+F305-H305)</f>
        <v/>
      </c>
      <c r="J305" s="21" t="str">
        <f aca="false">IF(A305="","",MONTH(A305))</f>
        <v/>
      </c>
    </row>
    <row r="306" customFormat="false" ht="15" hidden="false" customHeight="false" outlineLevel="0" collapsed="false">
      <c r="A306" s="19"/>
      <c r="B306" s="7"/>
      <c r="C306" s="7"/>
      <c r="D306" s="7"/>
      <c r="E306" s="17"/>
      <c r="F306" s="17"/>
      <c r="G306" s="7"/>
      <c r="H306" s="20" t="n">
        <f aca="false">IF(G306="Card",ROUND((E306+F306)*Settings!$B$8+Settings!$B$9,2),0)</f>
        <v>0</v>
      </c>
      <c r="I306" s="20" t="str">
        <f aca="false">IF(A306="","",E306+F306-H306)</f>
        <v/>
      </c>
      <c r="J306" s="21" t="str">
        <f aca="false">IF(A306="","",MONTH(A306))</f>
        <v/>
      </c>
    </row>
    <row r="307" customFormat="false" ht="15" hidden="false" customHeight="false" outlineLevel="0" collapsed="false">
      <c r="A307" s="19"/>
      <c r="B307" s="7"/>
      <c r="C307" s="7"/>
      <c r="D307" s="7"/>
      <c r="E307" s="17"/>
      <c r="F307" s="17"/>
      <c r="G307" s="7"/>
      <c r="H307" s="20" t="n">
        <f aca="false">IF(G307="Card",ROUND((E307+F307)*Settings!$B$8+Settings!$B$9,2),0)</f>
        <v>0</v>
      </c>
      <c r="I307" s="20" t="str">
        <f aca="false">IF(A307="","",E307+F307-H307)</f>
        <v/>
      </c>
      <c r="J307" s="21" t="str">
        <f aca="false">IF(A307="","",MONTH(A307))</f>
        <v/>
      </c>
    </row>
    <row r="308" customFormat="false" ht="15" hidden="false" customHeight="false" outlineLevel="0" collapsed="false">
      <c r="A308" s="19"/>
      <c r="B308" s="7"/>
      <c r="C308" s="7"/>
      <c r="D308" s="7"/>
      <c r="E308" s="17"/>
      <c r="F308" s="17"/>
      <c r="G308" s="7"/>
      <c r="H308" s="20" t="n">
        <f aca="false">IF(G308="Card",ROUND((E308+F308)*Settings!$B$8+Settings!$B$9,2),0)</f>
        <v>0</v>
      </c>
      <c r="I308" s="20" t="str">
        <f aca="false">IF(A308="","",E308+F308-H308)</f>
        <v/>
      </c>
      <c r="J308" s="21" t="str">
        <f aca="false">IF(A308="","",MONTH(A308))</f>
        <v/>
      </c>
    </row>
    <row r="309" customFormat="false" ht="15" hidden="false" customHeight="false" outlineLevel="0" collapsed="false">
      <c r="A309" s="19"/>
      <c r="B309" s="7"/>
      <c r="C309" s="7"/>
      <c r="D309" s="7"/>
      <c r="E309" s="17"/>
      <c r="F309" s="17"/>
      <c r="G309" s="7"/>
      <c r="H309" s="20" t="n">
        <f aca="false">IF(G309="Card",ROUND((E309+F309)*Settings!$B$8+Settings!$B$9,2),0)</f>
        <v>0</v>
      </c>
      <c r="I309" s="20" t="str">
        <f aca="false">IF(A309="","",E309+F309-H309)</f>
        <v/>
      </c>
      <c r="J309" s="21" t="str">
        <f aca="false">IF(A309="","",MONTH(A309))</f>
        <v/>
      </c>
    </row>
    <row r="310" customFormat="false" ht="15" hidden="false" customHeight="false" outlineLevel="0" collapsed="false">
      <c r="A310" s="19"/>
      <c r="B310" s="7"/>
      <c r="C310" s="7"/>
      <c r="D310" s="7"/>
      <c r="E310" s="17"/>
      <c r="F310" s="17"/>
      <c r="G310" s="7"/>
      <c r="H310" s="20" t="n">
        <f aca="false">IF(G310="Card",ROUND((E310+F310)*Settings!$B$8+Settings!$B$9,2),0)</f>
        <v>0</v>
      </c>
      <c r="I310" s="20" t="str">
        <f aca="false">IF(A310="","",E310+F310-H310)</f>
        <v/>
      </c>
      <c r="J310" s="21" t="str">
        <f aca="false">IF(A310="","",MONTH(A310))</f>
        <v/>
      </c>
    </row>
    <row r="311" customFormat="false" ht="15" hidden="false" customHeight="false" outlineLevel="0" collapsed="false">
      <c r="A311" s="19"/>
      <c r="B311" s="7"/>
      <c r="C311" s="7"/>
      <c r="D311" s="7"/>
      <c r="E311" s="17"/>
      <c r="F311" s="17"/>
      <c r="G311" s="7"/>
      <c r="H311" s="20" t="n">
        <f aca="false">IF(G311="Card",ROUND((E311+F311)*Settings!$B$8+Settings!$B$9,2),0)</f>
        <v>0</v>
      </c>
      <c r="I311" s="20" t="str">
        <f aca="false">IF(A311="","",E311+F311-H311)</f>
        <v/>
      </c>
      <c r="J311" s="21" t="str">
        <f aca="false">IF(A311="","",MONTH(A311))</f>
        <v/>
      </c>
    </row>
    <row r="312" customFormat="false" ht="15" hidden="false" customHeight="false" outlineLevel="0" collapsed="false">
      <c r="A312" s="19"/>
      <c r="B312" s="7"/>
      <c r="C312" s="7"/>
      <c r="D312" s="7"/>
      <c r="E312" s="17"/>
      <c r="F312" s="17"/>
      <c r="G312" s="7"/>
      <c r="H312" s="20" t="n">
        <f aca="false">IF(G312="Card",ROUND((E312+F312)*Settings!$B$8+Settings!$B$9,2),0)</f>
        <v>0</v>
      </c>
      <c r="I312" s="20" t="str">
        <f aca="false">IF(A312="","",E312+F312-H312)</f>
        <v/>
      </c>
      <c r="J312" s="21" t="str">
        <f aca="false">IF(A312="","",MONTH(A312))</f>
        <v/>
      </c>
    </row>
    <row r="313" customFormat="false" ht="15" hidden="false" customHeight="false" outlineLevel="0" collapsed="false">
      <c r="A313" s="19"/>
      <c r="B313" s="7"/>
      <c r="C313" s="7"/>
      <c r="D313" s="7"/>
      <c r="E313" s="17"/>
      <c r="F313" s="17"/>
      <c r="G313" s="7"/>
      <c r="H313" s="20" t="n">
        <f aca="false">IF(G313="Card",ROUND((E313+F313)*Settings!$B$8+Settings!$B$9,2),0)</f>
        <v>0</v>
      </c>
      <c r="I313" s="20" t="str">
        <f aca="false">IF(A313="","",E313+F313-H313)</f>
        <v/>
      </c>
      <c r="J313" s="21" t="str">
        <f aca="false">IF(A313="","",MONTH(A313))</f>
        <v/>
      </c>
    </row>
    <row r="314" customFormat="false" ht="15" hidden="false" customHeight="false" outlineLevel="0" collapsed="false">
      <c r="A314" s="19"/>
      <c r="B314" s="7"/>
      <c r="C314" s="7"/>
      <c r="D314" s="7"/>
      <c r="E314" s="17"/>
      <c r="F314" s="17"/>
      <c r="G314" s="7"/>
      <c r="H314" s="20" t="n">
        <f aca="false">IF(G314="Card",ROUND((E314+F314)*Settings!$B$8+Settings!$B$9,2),0)</f>
        <v>0</v>
      </c>
      <c r="I314" s="20" t="str">
        <f aca="false">IF(A314="","",E314+F314-H314)</f>
        <v/>
      </c>
      <c r="J314" s="21" t="str">
        <f aca="false">IF(A314="","",MONTH(A314))</f>
        <v/>
      </c>
    </row>
    <row r="315" customFormat="false" ht="15" hidden="false" customHeight="false" outlineLevel="0" collapsed="false">
      <c r="A315" s="19"/>
      <c r="B315" s="7"/>
      <c r="C315" s="7"/>
      <c r="D315" s="7"/>
      <c r="E315" s="17"/>
      <c r="F315" s="17"/>
      <c r="G315" s="7"/>
      <c r="H315" s="20" t="n">
        <f aca="false">IF(G315="Card",ROUND((E315+F315)*Settings!$B$8+Settings!$B$9,2),0)</f>
        <v>0</v>
      </c>
      <c r="I315" s="20" t="str">
        <f aca="false">IF(A315="","",E315+F315-H315)</f>
        <v/>
      </c>
      <c r="J315" s="21" t="str">
        <f aca="false">IF(A315="","",MONTH(A315))</f>
        <v/>
      </c>
    </row>
    <row r="316" customFormat="false" ht="15" hidden="false" customHeight="false" outlineLevel="0" collapsed="false">
      <c r="A316" s="19"/>
      <c r="B316" s="7"/>
      <c r="C316" s="7"/>
      <c r="D316" s="7"/>
      <c r="E316" s="17"/>
      <c r="F316" s="17"/>
      <c r="G316" s="7"/>
      <c r="H316" s="20" t="n">
        <f aca="false">IF(G316="Card",ROUND((E316+F316)*Settings!$B$8+Settings!$B$9,2),0)</f>
        <v>0</v>
      </c>
      <c r="I316" s="20" t="str">
        <f aca="false">IF(A316="","",E316+F316-H316)</f>
        <v/>
      </c>
      <c r="J316" s="21" t="str">
        <f aca="false">IF(A316="","",MONTH(A316))</f>
        <v/>
      </c>
    </row>
    <row r="317" customFormat="false" ht="15" hidden="false" customHeight="false" outlineLevel="0" collapsed="false">
      <c r="A317" s="19"/>
      <c r="B317" s="7"/>
      <c r="C317" s="7"/>
      <c r="D317" s="7"/>
      <c r="E317" s="17"/>
      <c r="F317" s="17"/>
      <c r="G317" s="7"/>
      <c r="H317" s="20" t="n">
        <f aca="false">IF(G317="Card",ROUND((E317+F317)*Settings!$B$8+Settings!$B$9,2),0)</f>
        <v>0</v>
      </c>
      <c r="I317" s="20" t="str">
        <f aca="false">IF(A317="","",E317+F317-H317)</f>
        <v/>
      </c>
      <c r="J317" s="21" t="str">
        <f aca="false">IF(A317="","",MONTH(A317))</f>
        <v/>
      </c>
    </row>
    <row r="318" customFormat="false" ht="15" hidden="false" customHeight="false" outlineLevel="0" collapsed="false">
      <c r="A318" s="19"/>
      <c r="B318" s="7"/>
      <c r="C318" s="7"/>
      <c r="D318" s="7"/>
      <c r="E318" s="17"/>
      <c r="F318" s="17"/>
      <c r="G318" s="7"/>
      <c r="H318" s="20" t="n">
        <f aca="false">IF(G318="Card",ROUND((E318+F318)*Settings!$B$8+Settings!$B$9,2),0)</f>
        <v>0</v>
      </c>
      <c r="I318" s="20" t="str">
        <f aca="false">IF(A318="","",E318+F318-H318)</f>
        <v/>
      </c>
      <c r="J318" s="21" t="str">
        <f aca="false">IF(A318="","",MONTH(A318))</f>
        <v/>
      </c>
    </row>
    <row r="319" customFormat="false" ht="15" hidden="false" customHeight="false" outlineLevel="0" collapsed="false">
      <c r="A319" s="19"/>
      <c r="B319" s="7"/>
      <c r="C319" s="7"/>
      <c r="D319" s="7"/>
      <c r="E319" s="17"/>
      <c r="F319" s="17"/>
      <c r="G319" s="7"/>
      <c r="H319" s="20" t="n">
        <f aca="false">IF(G319="Card",ROUND((E319+F319)*Settings!$B$8+Settings!$B$9,2),0)</f>
        <v>0</v>
      </c>
      <c r="I319" s="20" t="str">
        <f aca="false">IF(A319="","",E319+F319-H319)</f>
        <v/>
      </c>
      <c r="J319" s="21" t="str">
        <f aca="false">IF(A319="","",MONTH(A319))</f>
        <v/>
      </c>
    </row>
    <row r="320" customFormat="false" ht="15" hidden="false" customHeight="false" outlineLevel="0" collapsed="false">
      <c r="A320" s="19"/>
      <c r="B320" s="7"/>
      <c r="C320" s="7"/>
      <c r="D320" s="7"/>
      <c r="E320" s="17"/>
      <c r="F320" s="17"/>
      <c r="G320" s="7"/>
      <c r="H320" s="20" t="n">
        <f aca="false">IF(G320="Card",ROUND((E320+F320)*Settings!$B$8+Settings!$B$9,2),0)</f>
        <v>0</v>
      </c>
      <c r="I320" s="20" t="str">
        <f aca="false">IF(A320="","",E320+F320-H320)</f>
        <v/>
      </c>
      <c r="J320" s="21" t="str">
        <f aca="false">IF(A320="","",MONTH(A320))</f>
        <v/>
      </c>
    </row>
    <row r="321" customFormat="false" ht="15" hidden="false" customHeight="false" outlineLevel="0" collapsed="false">
      <c r="A321" s="19"/>
      <c r="B321" s="7"/>
      <c r="C321" s="7"/>
      <c r="D321" s="7"/>
      <c r="E321" s="17"/>
      <c r="F321" s="17"/>
      <c r="G321" s="7"/>
      <c r="H321" s="20" t="n">
        <f aca="false">IF(G321="Card",ROUND((E321+F321)*Settings!$B$8+Settings!$B$9,2),0)</f>
        <v>0</v>
      </c>
      <c r="I321" s="20" t="str">
        <f aca="false">IF(A321="","",E321+F321-H321)</f>
        <v/>
      </c>
      <c r="J321" s="21" t="str">
        <f aca="false">IF(A321="","",MONTH(A321))</f>
        <v/>
      </c>
    </row>
    <row r="322" customFormat="false" ht="15" hidden="false" customHeight="false" outlineLevel="0" collapsed="false">
      <c r="A322" s="19"/>
      <c r="B322" s="7"/>
      <c r="C322" s="7"/>
      <c r="D322" s="7"/>
      <c r="E322" s="17"/>
      <c r="F322" s="17"/>
      <c r="G322" s="7"/>
      <c r="H322" s="20" t="n">
        <f aca="false">IF(G322="Card",ROUND((E322+F322)*Settings!$B$8+Settings!$B$9,2),0)</f>
        <v>0</v>
      </c>
      <c r="I322" s="20" t="str">
        <f aca="false">IF(A322="","",E322+F322-H322)</f>
        <v/>
      </c>
      <c r="J322" s="21" t="str">
        <f aca="false">IF(A322="","",MONTH(A322))</f>
        <v/>
      </c>
    </row>
    <row r="323" customFormat="false" ht="15" hidden="false" customHeight="false" outlineLevel="0" collapsed="false">
      <c r="A323" s="19"/>
      <c r="B323" s="7"/>
      <c r="C323" s="7"/>
      <c r="D323" s="7"/>
      <c r="E323" s="17"/>
      <c r="F323" s="17"/>
      <c r="G323" s="7"/>
      <c r="H323" s="20" t="n">
        <f aca="false">IF(G323="Card",ROUND((E323+F323)*Settings!$B$8+Settings!$B$9,2),0)</f>
        <v>0</v>
      </c>
      <c r="I323" s="20" t="str">
        <f aca="false">IF(A323="","",E323+F323-H323)</f>
        <v/>
      </c>
      <c r="J323" s="21" t="str">
        <f aca="false">IF(A323="","",MONTH(A323))</f>
        <v/>
      </c>
    </row>
    <row r="324" customFormat="false" ht="15" hidden="false" customHeight="false" outlineLevel="0" collapsed="false">
      <c r="A324" s="19"/>
      <c r="B324" s="7"/>
      <c r="C324" s="7"/>
      <c r="D324" s="7"/>
      <c r="E324" s="17"/>
      <c r="F324" s="17"/>
      <c r="G324" s="7"/>
      <c r="H324" s="20" t="n">
        <f aca="false">IF(G324="Card",ROUND((E324+F324)*Settings!$B$8+Settings!$B$9,2),0)</f>
        <v>0</v>
      </c>
      <c r="I324" s="20" t="str">
        <f aca="false">IF(A324="","",E324+F324-H324)</f>
        <v/>
      </c>
      <c r="J324" s="21" t="str">
        <f aca="false">IF(A324="","",MONTH(A324))</f>
        <v/>
      </c>
    </row>
    <row r="325" customFormat="false" ht="15" hidden="false" customHeight="false" outlineLevel="0" collapsed="false">
      <c r="A325" s="19"/>
      <c r="B325" s="7"/>
      <c r="C325" s="7"/>
      <c r="D325" s="7"/>
      <c r="E325" s="17"/>
      <c r="F325" s="17"/>
      <c r="G325" s="7"/>
      <c r="H325" s="20" t="n">
        <f aca="false">IF(G325="Card",ROUND((E325+F325)*Settings!$B$8+Settings!$B$9,2),0)</f>
        <v>0</v>
      </c>
      <c r="I325" s="20" t="str">
        <f aca="false">IF(A325="","",E325+F325-H325)</f>
        <v/>
      </c>
      <c r="J325" s="21" t="str">
        <f aca="false">IF(A325="","",MONTH(A325))</f>
        <v/>
      </c>
    </row>
    <row r="326" customFormat="false" ht="15" hidden="false" customHeight="false" outlineLevel="0" collapsed="false">
      <c r="A326" s="19"/>
      <c r="B326" s="7"/>
      <c r="C326" s="7"/>
      <c r="D326" s="7"/>
      <c r="E326" s="17"/>
      <c r="F326" s="17"/>
      <c r="G326" s="7"/>
      <c r="H326" s="20" t="n">
        <f aca="false">IF(G326="Card",ROUND((E326+F326)*Settings!$B$8+Settings!$B$9,2),0)</f>
        <v>0</v>
      </c>
      <c r="I326" s="20" t="str">
        <f aca="false">IF(A326="","",E326+F326-H326)</f>
        <v/>
      </c>
      <c r="J326" s="21" t="str">
        <f aca="false">IF(A326="","",MONTH(A326))</f>
        <v/>
      </c>
    </row>
    <row r="327" customFormat="false" ht="15" hidden="false" customHeight="false" outlineLevel="0" collapsed="false">
      <c r="A327" s="19"/>
      <c r="B327" s="7"/>
      <c r="C327" s="7"/>
      <c r="D327" s="7"/>
      <c r="E327" s="17"/>
      <c r="F327" s="17"/>
      <c r="G327" s="7"/>
      <c r="H327" s="20" t="n">
        <f aca="false">IF(G327="Card",ROUND((E327+F327)*Settings!$B$8+Settings!$B$9,2),0)</f>
        <v>0</v>
      </c>
      <c r="I327" s="20" t="str">
        <f aca="false">IF(A327="","",E327+F327-H327)</f>
        <v/>
      </c>
      <c r="J327" s="21" t="str">
        <f aca="false">IF(A327="","",MONTH(A327))</f>
        <v/>
      </c>
    </row>
    <row r="328" customFormat="false" ht="15" hidden="false" customHeight="false" outlineLevel="0" collapsed="false">
      <c r="A328" s="19"/>
      <c r="B328" s="7"/>
      <c r="C328" s="7"/>
      <c r="D328" s="7"/>
      <c r="E328" s="17"/>
      <c r="F328" s="17"/>
      <c r="G328" s="7"/>
      <c r="H328" s="20" t="n">
        <f aca="false">IF(G328="Card",ROUND((E328+F328)*Settings!$B$8+Settings!$B$9,2),0)</f>
        <v>0</v>
      </c>
      <c r="I328" s="20" t="str">
        <f aca="false">IF(A328="","",E328+F328-H328)</f>
        <v/>
      </c>
      <c r="J328" s="21" t="str">
        <f aca="false">IF(A328="","",MONTH(A328))</f>
        <v/>
      </c>
    </row>
    <row r="329" customFormat="false" ht="15" hidden="false" customHeight="false" outlineLevel="0" collapsed="false">
      <c r="A329" s="19"/>
      <c r="B329" s="7"/>
      <c r="C329" s="7"/>
      <c r="D329" s="7"/>
      <c r="E329" s="17"/>
      <c r="F329" s="17"/>
      <c r="G329" s="7"/>
      <c r="H329" s="20" t="n">
        <f aca="false">IF(G329="Card",ROUND((E329+F329)*Settings!$B$8+Settings!$B$9,2),0)</f>
        <v>0</v>
      </c>
      <c r="I329" s="20" t="str">
        <f aca="false">IF(A329="","",E329+F329-H329)</f>
        <v/>
      </c>
      <c r="J329" s="21" t="str">
        <f aca="false">IF(A329="","",MONTH(A329))</f>
        <v/>
      </c>
    </row>
    <row r="330" customFormat="false" ht="15" hidden="false" customHeight="false" outlineLevel="0" collapsed="false">
      <c r="A330" s="19"/>
      <c r="B330" s="7"/>
      <c r="C330" s="7"/>
      <c r="D330" s="7"/>
      <c r="E330" s="17"/>
      <c r="F330" s="17"/>
      <c r="G330" s="7"/>
      <c r="H330" s="20" t="n">
        <f aca="false">IF(G330="Card",ROUND((E330+F330)*Settings!$B$8+Settings!$B$9,2),0)</f>
        <v>0</v>
      </c>
      <c r="I330" s="20" t="str">
        <f aca="false">IF(A330="","",E330+F330-H330)</f>
        <v/>
      </c>
      <c r="J330" s="21" t="str">
        <f aca="false">IF(A330="","",MONTH(A330))</f>
        <v/>
      </c>
    </row>
    <row r="331" customFormat="false" ht="15" hidden="false" customHeight="false" outlineLevel="0" collapsed="false">
      <c r="A331" s="19"/>
      <c r="B331" s="7"/>
      <c r="C331" s="7"/>
      <c r="D331" s="7"/>
      <c r="E331" s="17"/>
      <c r="F331" s="17"/>
      <c r="G331" s="7"/>
      <c r="H331" s="20" t="n">
        <f aca="false">IF(G331="Card",ROUND((E331+F331)*Settings!$B$8+Settings!$B$9,2),0)</f>
        <v>0</v>
      </c>
      <c r="I331" s="20" t="str">
        <f aca="false">IF(A331="","",E331+F331-H331)</f>
        <v/>
      </c>
      <c r="J331" s="21" t="str">
        <f aca="false">IF(A331="","",MONTH(A331))</f>
        <v/>
      </c>
    </row>
    <row r="332" customFormat="false" ht="15" hidden="false" customHeight="false" outlineLevel="0" collapsed="false">
      <c r="A332" s="19"/>
      <c r="B332" s="7"/>
      <c r="C332" s="7"/>
      <c r="D332" s="7"/>
      <c r="E332" s="17"/>
      <c r="F332" s="17"/>
      <c r="G332" s="7"/>
      <c r="H332" s="20" t="n">
        <f aca="false">IF(G332="Card",ROUND((E332+F332)*Settings!$B$8+Settings!$B$9,2),0)</f>
        <v>0</v>
      </c>
      <c r="I332" s="20" t="str">
        <f aca="false">IF(A332="","",E332+F332-H332)</f>
        <v/>
      </c>
      <c r="J332" s="21" t="str">
        <f aca="false">IF(A332="","",MONTH(A332))</f>
        <v/>
      </c>
    </row>
    <row r="333" customFormat="false" ht="15" hidden="false" customHeight="false" outlineLevel="0" collapsed="false">
      <c r="A333" s="19"/>
      <c r="B333" s="7"/>
      <c r="C333" s="7"/>
      <c r="D333" s="7"/>
      <c r="E333" s="17"/>
      <c r="F333" s="17"/>
      <c r="G333" s="7"/>
      <c r="H333" s="20" t="n">
        <f aca="false">IF(G333="Card",ROUND((E333+F333)*Settings!$B$8+Settings!$B$9,2),0)</f>
        <v>0</v>
      </c>
      <c r="I333" s="20" t="str">
        <f aca="false">IF(A333="","",E333+F333-H333)</f>
        <v/>
      </c>
      <c r="J333" s="21" t="str">
        <f aca="false">IF(A333="","",MONTH(A333))</f>
        <v/>
      </c>
    </row>
    <row r="334" customFormat="false" ht="15" hidden="false" customHeight="false" outlineLevel="0" collapsed="false">
      <c r="A334" s="19"/>
      <c r="B334" s="7"/>
      <c r="C334" s="7"/>
      <c r="D334" s="7"/>
      <c r="E334" s="17"/>
      <c r="F334" s="17"/>
      <c r="G334" s="7"/>
      <c r="H334" s="20" t="n">
        <f aca="false">IF(G334="Card",ROUND((E334+F334)*Settings!$B$8+Settings!$B$9,2),0)</f>
        <v>0</v>
      </c>
      <c r="I334" s="20" t="str">
        <f aca="false">IF(A334="","",E334+F334-H334)</f>
        <v/>
      </c>
      <c r="J334" s="21" t="str">
        <f aca="false">IF(A334="","",MONTH(A334))</f>
        <v/>
      </c>
    </row>
    <row r="335" customFormat="false" ht="15" hidden="false" customHeight="false" outlineLevel="0" collapsed="false">
      <c r="A335" s="19"/>
      <c r="B335" s="7"/>
      <c r="C335" s="7"/>
      <c r="D335" s="7"/>
      <c r="E335" s="17"/>
      <c r="F335" s="17"/>
      <c r="G335" s="7"/>
      <c r="H335" s="20" t="n">
        <f aca="false">IF(G335="Card",ROUND((E335+F335)*Settings!$B$8+Settings!$B$9,2),0)</f>
        <v>0</v>
      </c>
      <c r="I335" s="20" t="str">
        <f aca="false">IF(A335="","",E335+F335-H335)</f>
        <v/>
      </c>
      <c r="J335" s="21" t="str">
        <f aca="false">IF(A335="","",MONTH(A335))</f>
        <v/>
      </c>
    </row>
    <row r="336" customFormat="false" ht="15" hidden="false" customHeight="false" outlineLevel="0" collapsed="false">
      <c r="A336" s="19"/>
      <c r="B336" s="7"/>
      <c r="C336" s="7"/>
      <c r="D336" s="7"/>
      <c r="E336" s="17"/>
      <c r="F336" s="17"/>
      <c r="G336" s="7"/>
      <c r="H336" s="20" t="n">
        <f aca="false">IF(G336="Card",ROUND((E336+F336)*Settings!$B$8+Settings!$B$9,2),0)</f>
        <v>0</v>
      </c>
      <c r="I336" s="20" t="str">
        <f aca="false">IF(A336="","",E336+F336-H336)</f>
        <v/>
      </c>
      <c r="J336" s="21" t="str">
        <f aca="false">IF(A336="","",MONTH(A336))</f>
        <v/>
      </c>
    </row>
    <row r="337" customFormat="false" ht="15" hidden="false" customHeight="false" outlineLevel="0" collapsed="false">
      <c r="A337" s="19"/>
      <c r="B337" s="7"/>
      <c r="C337" s="7"/>
      <c r="D337" s="7"/>
      <c r="E337" s="17"/>
      <c r="F337" s="17"/>
      <c r="G337" s="7"/>
      <c r="H337" s="20" t="n">
        <f aca="false">IF(G337="Card",ROUND((E337+F337)*Settings!$B$8+Settings!$B$9,2),0)</f>
        <v>0</v>
      </c>
      <c r="I337" s="20" t="str">
        <f aca="false">IF(A337="","",E337+F337-H337)</f>
        <v/>
      </c>
      <c r="J337" s="21" t="str">
        <f aca="false">IF(A337="","",MONTH(A337))</f>
        <v/>
      </c>
    </row>
    <row r="338" customFormat="false" ht="15" hidden="false" customHeight="false" outlineLevel="0" collapsed="false">
      <c r="A338" s="19"/>
      <c r="B338" s="7"/>
      <c r="C338" s="7"/>
      <c r="D338" s="7"/>
      <c r="E338" s="17"/>
      <c r="F338" s="17"/>
      <c r="G338" s="7"/>
      <c r="H338" s="20" t="n">
        <f aca="false">IF(G338="Card",ROUND((E338+F338)*Settings!$B$8+Settings!$B$9,2),0)</f>
        <v>0</v>
      </c>
      <c r="I338" s="20" t="str">
        <f aca="false">IF(A338="","",E338+F338-H338)</f>
        <v/>
      </c>
      <c r="J338" s="21" t="str">
        <f aca="false">IF(A338="","",MONTH(A338))</f>
        <v/>
      </c>
    </row>
    <row r="339" customFormat="false" ht="15" hidden="false" customHeight="false" outlineLevel="0" collapsed="false">
      <c r="A339" s="19"/>
      <c r="B339" s="7"/>
      <c r="C339" s="7"/>
      <c r="D339" s="7"/>
      <c r="E339" s="17"/>
      <c r="F339" s="17"/>
      <c r="G339" s="7"/>
      <c r="H339" s="20" t="n">
        <f aca="false">IF(G339="Card",ROUND((E339+F339)*Settings!$B$8+Settings!$B$9,2),0)</f>
        <v>0</v>
      </c>
      <c r="I339" s="20" t="str">
        <f aca="false">IF(A339="","",E339+F339-H339)</f>
        <v/>
      </c>
      <c r="J339" s="21" t="str">
        <f aca="false">IF(A339="","",MONTH(A339))</f>
        <v/>
      </c>
    </row>
    <row r="340" customFormat="false" ht="15" hidden="false" customHeight="false" outlineLevel="0" collapsed="false">
      <c r="A340" s="19"/>
      <c r="B340" s="7"/>
      <c r="C340" s="7"/>
      <c r="D340" s="7"/>
      <c r="E340" s="17"/>
      <c r="F340" s="17"/>
      <c r="G340" s="7"/>
      <c r="H340" s="20" t="n">
        <f aca="false">IF(G340="Card",ROUND((E340+F340)*Settings!$B$8+Settings!$B$9,2),0)</f>
        <v>0</v>
      </c>
      <c r="I340" s="20" t="str">
        <f aca="false">IF(A340="","",E340+F340-H340)</f>
        <v/>
      </c>
      <c r="J340" s="21" t="str">
        <f aca="false">IF(A340="","",MONTH(A340))</f>
        <v/>
      </c>
    </row>
    <row r="341" customFormat="false" ht="15" hidden="false" customHeight="false" outlineLevel="0" collapsed="false">
      <c r="A341" s="19"/>
      <c r="B341" s="7"/>
      <c r="C341" s="7"/>
      <c r="D341" s="7"/>
      <c r="E341" s="17"/>
      <c r="F341" s="17"/>
      <c r="G341" s="7"/>
      <c r="H341" s="20" t="n">
        <f aca="false">IF(G341="Card",ROUND((E341+F341)*Settings!$B$8+Settings!$B$9,2),0)</f>
        <v>0</v>
      </c>
      <c r="I341" s="20" t="str">
        <f aca="false">IF(A341="","",E341+F341-H341)</f>
        <v/>
      </c>
      <c r="J341" s="21" t="str">
        <f aca="false">IF(A341="","",MONTH(A341))</f>
        <v/>
      </c>
    </row>
    <row r="342" customFormat="false" ht="15" hidden="false" customHeight="false" outlineLevel="0" collapsed="false">
      <c r="A342" s="19"/>
      <c r="B342" s="7"/>
      <c r="C342" s="7"/>
      <c r="D342" s="7"/>
      <c r="E342" s="17"/>
      <c r="F342" s="17"/>
      <c r="G342" s="7"/>
      <c r="H342" s="20" t="n">
        <f aca="false">IF(G342="Card",ROUND((E342+F342)*Settings!$B$8+Settings!$B$9,2),0)</f>
        <v>0</v>
      </c>
      <c r="I342" s="20" t="str">
        <f aca="false">IF(A342="","",E342+F342-H342)</f>
        <v/>
      </c>
      <c r="J342" s="21" t="str">
        <f aca="false">IF(A342="","",MONTH(A342))</f>
        <v/>
      </c>
    </row>
    <row r="343" customFormat="false" ht="15" hidden="false" customHeight="false" outlineLevel="0" collapsed="false">
      <c r="A343" s="19"/>
      <c r="B343" s="7"/>
      <c r="C343" s="7"/>
      <c r="D343" s="7"/>
      <c r="E343" s="17"/>
      <c r="F343" s="17"/>
      <c r="G343" s="7"/>
      <c r="H343" s="20" t="n">
        <f aca="false">IF(G343="Card",ROUND((E343+F343)*Settings!$B$8+Settings!$B$9,2),0)</f>
        <v>0</v>
      </c>
      <c r="I343" s="20" t="str">
        <f aca="false">IF(A343="","",E343+F343-H343)</f>
        <v/>
      </c>
      <c r="J343" s="21" t="str">
        <f aca="false">IF(A343="","",MONTH(A343))</f>
        <v/>
      </c>
    </row>
    <row r="344" customFormat="false" ht="15" hidden="false" customHeight="false" outlineLevel="0" collapsed="false">
      <c r="A344" s="19"/>
      <c r="B344" s="7"/>
      <c r="C344" s="7"/>
      <c r="D344" s="7"/>
      <c r="E344" s="17"/>
      <c r="F344" s="17"/>
      <c r="G344" s="7"/>
      <c r="H344" s="20" t="n">
        <f aca="false">IF(G344="Card",ROUND((E344+F344)*Settings!$B$8+Settings!$B$9,2),0)</f>
        <v>0</v>
      </c>
      <c r="I344" s="20" t="str">
        <f aca="false">IF(A344="","",E344+F344-H344)</f>
        <v/>
      </c>
      <c r="J344" s="21" t="str">
        <f aca="false">IF(A344="","",MONTH(A344))</f>
        <v/>
      </c>
    </row>
    <row r="345" customFormat="false" ht="15" hidden="false" customHeight="false" outlineLevel="0" collapsed="false">
      <c r="A345" s="19"/>
      <c r="B345" s="7"/>
      <c r="C345" s="7"/>
      <c r="D345" s="7"/>
      <c r="E345" s="17"/>
      <c r="F345" s="17"/>
      <c r="G345" s="7"/>
      <c r="H345" s="20" t="n">
        <f aca="false">IF(G345="Card",ROUND((E345+F345)*Settings!$B$8+Settings!$B$9,2),0)</f>
        <v>0</v>
      </c>
      <c r="I345" s="20" t="str">
        <f aca="false">IF(A345="","",E345+F345-H345)</f>
        <v/>
      </c>
      <c r="J345" s="21" t="str">
        <f aca="false">IF(A345="","",MONTH(A345))</f>
        <v/>
      </c>
    </row>
    <row r="346" customFormat="false" ht="15" hidden="false" customHeight="false" outlineLevel="0" collapsed="false">
      <c r="A346" s="19"/>
      <c r="B346" s="7"/>
      <c r="C346" s="7"/>
      <c r="D346" s="7"/>
      <c r="E346" s="17"/>
      <c r="F346" s="17"/>
      <c r="G346" s="7"/>
      <c r="H346" s="20" t="n">
        <f aca="false">IF(G346="Card",ROUND((E346+F346)*Settings!$B$8+Settings!$B$9,2),0)</f>
        <v>0</v>
      </c>
      <c r="I346" s="20" t="str">
        <f aca="false">IF(A346="","",E346+F346-H346)</f>
        <v/>
      </c>
      <c r="J346" s="21" t="str">
        <f aca="false">IF(A346="","",MONTH(A346))</f>
        <v/>
      </c>
    </row>
    <row r="347" customFormat="false" ht="15" hidden="false" customHeight="false" outlineLevel="0" collapsed="false">
      <c r="A347" s="19"/>
      <c r="B347" s="7"/>
      <c r="C347" s="7"/>
      <c r="D347" s="7"/>
      <c r="E347" s="17"/>
      <c r="F347" s="17"/>
      <c r="G347" s="7"/>
      <c r="H347" s="20" t="n">
        <f aca="false">IF(G347="Card",ROUND((E347+F347)*Settings!$B$8+Settings!$B$9,2),0)</f>
        <v>0</v>
      </c>
      <c r="I347" s="20" t="str">
        <f aca="false">IF(A347="","",E347+F347-H347)</f>
        <v/>
      </c>
      <c r="J347" s="21" t="str">
        <f aca="false">IF(A347="","",MONTH(A347))</f>
        <v/>
      </c>
    </row>
    <row r="348" customFormat="false" ht="15" hidden="false" customHeight="false" outlineLevel="0" collapsed="false">
      <c r="A348" s="19"/>
      <c r="B348" s="7"/>
      <c r="C348" s="7"/>
      <c r="D348" s="7"/>
      <c r="E348" s="17"/>
      <c r="F348" s="17"/>
      <c r="G348" s="7"/>
      <c r="H348" s="20" t="n">
        <f aca="false">IF(G348="Card",ROUND((E348+F348)*Settings!$B$8+Settings!$B$9,2),0)</f>
        <v>0</v>
      </c>
      <c r="I348" s="20" t="str">
        <f aca="false">IF(A348="","",E348+F348-H348)</f>
        <v/>
      </c>
      <c r="J348" s="21" t="str">
        <f aca="false">IF(A348="","",MONTH(A348))</f>
        <v/>
      </c>
    </row>
    <row r="349" customFormat="false" ht="15" hidden="false" customHeight="false" outlineLevel="0" collapsed="false">
      <c r="A349" s="19"/>
      <c r="B349" s="7"/>
      <c r="C349" s="7"/>
      <c r="D349" s="7"/>
      <c r="E349" s="17"/>
      <c r="F349" s="17"/>
      <c r="G349" s="7"/>
      <c r="H349" s="20" t="n">
        <f aca="false">IF(G349="Card",ROUND((E349+F349)*Settings!$B$8+Settings!$B$9,2),0)</f>
        <v>0</v>
      </c>
      <c r="I349" s="20" t="str">
        <f aca="false">IF(A349="","",E349+F349-H349)</f>
        <v/>
      </c>
      <c r="J349" s="21" t="str">
        <f aca="false">IF(A349="","",MONTH(A349))</f>
        <v/>
      </c>
    </row>
    <row r="350" customFormat="false" ht="15" hidden="false" customHeight="false" outlineLevel="0" collapsed="false">
      <c r="A350" s="19"/>
      <c r="B350" s="7"/>
      <c r="C350" s="7"/>
      <c r="D350" s="7"/>
      <c r="E350" s="17"/>
      <c r="F350" s="17"/>
      <c r="G350" s="7"/>
      <c r="H350" s="20" t="n">
        <f aca="false">IF(G350="Card",ROUND((E350+F350)*Settings!$B$8+Settings!$B$9,2),0)</f>
        <v>0</v>
      </c>
      <c r="I350" s="20" t="str">
        <f aca="false">IF(A350="","",E350+F350-H350)</f>
        <v/>
      </c>
      <c r="J350" s="21" t="str">
        <f aca="false">IF(A350="","",MONTH(A350))</f>
        <v/>
      </c>
    </row>
    <row r="351" customFormat="false" ht="15" hidden="false" customHeight="false" outlineLevel="0" collapsed="false">
      <c r="A351" s="19"/>
      <c r="B351" s="7"/>
      <c r="C351" s="7"/>
      <c r="D351" s="7"/>
      <c r="E351" s="17"/>
      <c r="F351" s="17"/>
      <c r="G351" s="7"/>
      <c r="H351" s="20" t="n">
        <f aca="false">IF(G351="Card",ROUND((E351+F351)*Settings!$B$8+Settings!$B$9,2),0)</f>
        <v>0</v>
      </c>
      <c r="I351" s="20" t="str">
        <f aca="false">IF(A351="","",E351+F351-H351)</f>
        <v/>
      </c>
      <c r="J351" s="21" t="str">
        <f aca="false">IF(A351="","",MONTH(A351))</f>
        <v/>
      </c>
    </row>
    <row r="352" customFormat="false" ht="15" hidden="false" customHeight="false" outlineLevel="0" collapsed="false">
      <c r="A352" s="19"/>
      <c r="B352" s="7"/>
      <c r="C352" s="7"/>
      <c r="D352" s="7"/>
      <c r="E352" s="17"/>
      <c r="F352" s="17"/>
      <c r="G352" s="7"/>
      <c r="H352" s="20" t="n">
        <f aca="false">IF(G352="Card",ROUND((E352+F352)*Settings!$B$8+Settings!$B$9,2),0)</f>
        <v>0</v>
      </c>
      <c r="I352" s="20" t="str">
        <f aca="false">IF(A352="","",E352+F352-H352)</f>
        <v/>
      </c>
      <c r="J352" s="21" t="str">
        <f aca="false">IF(A352="","",MONTH(A352))</f>
        <v/>
      </c>
    </row>
    <row r="353" customFormat="false" ht="15" hidden="false" customHeight="false" outlineLevel="0" collapsed="false">
      <c r="A353" s="19"/>
      <c r="B353" s="7"/>
      <c r="C353" s="7"/>
      <c r="D353" s="7"/>
      <c r="E353" s="17"/>
      <c r="F353" s="17"/>
      <c r="G353" s="7"/>
      <c r="H353" s="20" t="n">
        <f aca="false">IF(G353="Card",ROUND((E353+F353)*Settings!$B$8+Settings!$B$9,2),0)</f>
        <v>0</v>
      </c>
      <c r="I353" s="20" t="str">
        <f aca="false">IF(A353="","",E353+F353-H353)</f>
        <v/>
      </c>
      <c r="J353" s="21" t="str">
        <f aca="false">IF(A353="","",MONTH(A353))</f>
        <v/>
      </c>
    </row>
    <row r="354" customFormat="false" ht="15" hidden="false" customHeight="false" outlineLevel="0" collapsed="false">
      <c r="A354" s="19"/>
      <c r="B354" s="7"/>
      <c r="C354" s="7"/>
      <c r="D354" s="7"/>
      <c r="E354" s="17"/>
      <c r="F354" s="17"/>
      <c r="G354" s="7"/>
      <c r="H354" s="20" t="n">
        <f aca="false">IF(G354="Card",ROUND((E354+F354)*Settings!$B$8+Settings!$B$9,2),0)</f>
        <v>0</v>
      </c>
      <c r="I354" s="20" t="str">
        <f aca="false">IF(A354="","",E354+F354-H354)</f>
        <v/>
      </c>
      <c r="J354" s="21" t="str">
        <f aca="false">IF(A354="","",MONTH(A354))</f>
        <v/>
      </c>
    </row>
    <row r="355" customFormat="false" ht="15" hidden="false" customHeight="false" outlineLevel="0" collapsed="false">
      <c r="A355" s="19"/>
      <c r="B355" s="7"/>
      <c r="C355" s="7"/>
      <c r="D355" s="7"/>
      <c r="E355" s="17"/>
      <c r="F355" s="17"/>
      <c r="G355" s="7"/>
      <c r="H355" s="20" t="n">
        <f aca="false">IF(G355="Card",ROUND((E355+F355)*Settings!$B$8+Settings!$B$9,2),0)</f>
        <v>0</v>
      </c>
      <c r="I355" s="20" t="str">
        <f aca="false">IF(A355="","",E355+F355-H355)</f>
        <v/>
      </c>
      <c r="J355" s="21" t="str">
        <f aca="false">IF(A355="","",MONTH(A355))</f>
        <v/>
      </c>
    </row>
    <row r="356" customFormat="false" ht="15" hidden="false" customHeight="false" outlineLevel="0" collapsed="false">
      <c r="A356" s="19"/>
      <c r="B356" s="7"/>
      <c r="C356" s="7"/>
      <c r="D356" s="7"/>
      <c r="E356" s="17"/>
      <c r="F356" s="17"/>
      <c r="G356" s="7"/>
      <c r="H356" s="20" t="n">
        <f aca="false">IF(G356="Card",ROUND((E356+F356)*Settings!$B$8+Settings!$B$9,2),0)</f>
        <v>0</v>
      </c>
      <c r="I356" s="20" t="str">
        <f aca="false">IF(A356="","",E356+F356-H356)</f>
        <v/>
      </c>
      <c r="J356" s="21" t="str">
        <f aca="false">IF(A356="","",MONTH(A356))</f>
        <v/>
      </c>
    </row>
    <row r="357" customFormat="false" ht="15" hidden="false" customHeight="false" outlineLevel="0" collapsed="false">
      <c r="A357" s="19"/>
      <c r="B357" s="7"/>
      <c r="C357" s="7"/>
      <c r="D357" s="7"/>
      <c r="E357" s="17"/>
      <c r="F357" s="17"/>
      <c r="G357" s="7"/>
      <c r="H357" s="20" t="n">
        <f aca="false">IF(G357="Card",ROUND((E357+F357)*Settings!$B$8+Settings!$B$9,2),0)</f>
        <v>0</v>
      </c>
      <c r="I357" s="20" t="str">
        <f aca="false">IF(A357="","",E357+F357-H357)</f>
        <v/>
      </c>
      <c r="J357" s="21" t="str">
        <f aca="false">IF(A357="","",MONTH(A357))</f>
        <v/>
      </c>
    </row>
    <row r="358" customFormat="false" ht="15" hidden="false" customHeight="false" outlineLevel="0" collapsed="false">
      <c r="A358" s="19"/>
      <c r="B358" s="7"/>
      <c r="C358" s="7"/>
      <c r="D358" s="7"/>
      <c r="E358" s="17"/>
      <c r="F358" s="17"/>
      <c r="G358" s="7"/>
      <c r="H358" s="20" t="n">
        <f aca="false">IF(G358="Card",ROUND((E358+F358)*Settings!$B$8+Settings!$B$9,2),0)</f>
        <v>0</v>
      </c>
      <c r="I358" s="20" t="str">
        <f aca="false">IF(A358="","",E358+F358-H358)</f>
        <v/>
      </c>
      <c r="J358" s="21" t="str">
        <f aca="false">IF(A358="","",MONTH(A358))</f>
        <v/>
      </c>
    </row>
    <row r="359" customFormat="false" ht="15" hidden="false" customHeight="false" outlineLevel="0" collapsed="false">
      <c r="A359" s="19"/>
      <c r="B359" s="7"/>
      <c r="C359" s="7"/>
      <c r="D359" s="7"/>
      <c r="E359" s="17"/>
      <c r="F359" s="17"/>
      <c r="G359" s="7"/>
      <c r="H359" s="20" t="n">
        <f aca="false">IF(G359="Card",ROUND((E359+F359)*Settings!$B$8+Settings!$B$9,2),0)</f>
        <v>0</v>
      </c>
      <c r="I359" s="20" t="str">
        <f aca="false">IF(A359="","",E359+F359-H359)</f>
        <v/>
      </c>
      <c r="J359" s="21" t="str">
        <f aca="false">IF(A359="","",MONTH(A359))</f>
        <v/>
      </c>
    </row>
    <row r="360" customFormat="false" ht="15" hidden="false" customHeight="false" outlineLevel="0" collapsed="false">
      <c r="A360" s="19"/>
      <c r="B360" s="7"/>
      <c r="C360" s="7"/>
      <c r="D360" s="7"/>
      <c r="E360" s="17"/>
      <c r="F360" s="17"/>
      <c r="G360" s="7"/>
      <c r="H360" s="20" t="n">
        <f aca="false">IF(G360="Card",ROUND((E360+F360)*Settings!$B$8+Settings!$B$9,2),0)</f>
        <v>0</v>
      </c>
      <c r="I360" s="20" t="str">
        <f aca="false">IF(A360="","",E360+F360-H360)</f>
        <v/>
      </c>
      <c r="J360" s="21" t="str">
        <f aca="false">IF(A360="","",MONTH(A360))</f>
        <v/>
      </c>
    </row>
    <row r="361" customFormat="false" ht="15" hidden="false" customHeight="false" outlineLevel="0" collapsed="false">
      <c r="A361" s="19"/>
      <c r="B361" s="7"/>
      <c r="C361" s="7"/>
      <c r="D361" s="7"/>
      <c r="E361" s="17"/>
      <c r="F361" s="17"/>
      <c r="G361" s="7"/>
      <c r="H361" s="20" t="n">
        <f aca="false">IF(G361="Card",ROUND((E361+F361)*Settings!$B$8+Settings!$B$9,2),0)</f>
        <v>0</v>
      </c>
      <c r="I361" s="20" t="str">
        <f aca="false">IF(A361="","",E361+F361-H361)</f>
        <v/>
      </c>
      <c r="J361" s="21" t="str">
        <f aca="false">IF(A361="","",MONTH(A361))</f>
        <v/>
      </c>
    </row>
    <row r="362" customFormat="false" ht="15" hidden="false" customHeight="false" outlineLevel="0" collapsed="false">
      <c r="A362" s="19"/>
      <c r="B362" s="7"/>
      <c r="C362" s="7"/>
      <c r="D362" s="7"/>
      <c r="E362" s="17"/>
      <c r="F362" s="17"/>
      <c r="G362" s="7"/>
      <c r="H362" s="20" t="n">
        <f aca="false">IF(G362="Card",ROUND((E362+F362)*Settings!$B$8+Settings!$B$9,2),0)</f>
        <v>0</v>
      </c>
      <c r="I362" s="20" t="str">
        <f aca="false">IF(A362="","",E362+F362-H362)</f>
        <v/>
      </c>
      <c r="J362" s="21" t="str">
        <f aca="false">IF(A362="","",MONTH(A362))</f>
        <v/>
      </c>
    </row>
    <row r="363" customFormat="false" ht="15" hidden="false" customHeight="false" outlineLevel="0" collapsed="false">
      <c r="A363" s="19"/>
      <c r="B363" s="7"/>
      <c r="C363" s="7"/>
      <c r="D363" s="7"/>
      <c r="E363" s="17"/>
      <c r="F363" s="17"/>
      <c r="G363" s="7"/>
      <c r="H363" s="20" t="n">
        <f aca="false">IF(G363="Card",ROUND((E363+F363)*Settings!$B$8+Settings!$B$9,2),0)</f>
        <v>0</v>
      </c>
      <c r="I363" s="20" t="str">
        <f aca="false">IF(A363="","",E363+F363-H363)</f>
        <v/>
      </c>
      <c r="J363" s="21" t="str">
        <f aca="false">IF(A363="","",MONTH(A363))</f>
        <v/>
      </c>
    </row>
    <row r="364" customFormat="false" ht="15" hidden="false" customHeight="false" outlineLevel="0" collapsed="false">
      <c r="A364" s="19"/>
      <c r="B364" s="7"/>
      <c r="C364" s="7"/>
      <c r="D364" s="7"/>
      <c r="E364" s="17"/>
      <c r="F364" s="17"/>
      <c r="G364" s="7"/>
      <c r="H364" s="20" t="n">
        <f aca="false">IF(G364="Card",ROUND((E364+F364)*Settings!$B$8+Settings!$B$9,2),0)</f>
        <v>0</v>
      </c>
      <c r="I364" s="20" t="str">
        <f aca="false">IF(A364="","",E364+F364-H364)</f>
        <v/>
      </c>
      <c r="J364" s="21" t="str">
        <f aca="false">IF(A364="","",MONTH(A364))</f>
        <v/>
      </c>
    </row>
    <row r="365" customFormat="false" ht="15" hidden="false" customHeight="false" outlineLevel="0" collapsed="false">
      <c r="A365" s="19"/>
      <c r="B365" s="7"/>
      <c r="C365" s="7"/>
      <c r="D365" s="7"/>
      <c r="E365" s="17"/>
      <c r="F365" s="17"/>
      <c r="G365" s="7"/>
      <c r="H365" s="20" t="n">
        <f aca="false">IF(G365="Card",ROUND((E365+F365)*Settings!$B$8+Settings!$B$9,2),0)</f>
        <v>0</v>
      </c>
      <c r="I365" s="20" t="str">
        <f aca="false">IF(A365="","",E365+F365-H365)</f>
        <v/>
      </c>
      <c r="J365" s="21" t="str">
        <f aca="false">IF(A365="","",MONTH(A365))</f>
        <v/>
      </c>
    </row>
    <row r="366" customFormat="false" ht="15" hidden="false" customHeight="false" outlineLevel="0" collapsed="false">
      <c r="A366" s="19"/>
      <c r="B366" s="7"/>
      <c r="C366" s="7"/>
      <c r="D366" s="7"/>
      <c r="E366" s="17"/>
      <c r="F366" s="17"/>
      <c r="G366" s="7"/>
      <c r="H366" s="20" t="n">
        <f aca="false">IF(G366="Card",ROUND((E366+F366)*Settings!$B$8+Settings!$B$9,2),0)</f>
        <v>0</v>
      </c>
      <c r="I366" s="20" t="str">
        <f aca="false">IF(A366="","",E366+F366-H366)</f>
        <v/>
      </c>
      <c r="J366" s="21" t="str">
        <f aca="false">IF(A366="","",MONTH(A366))</f>
        <v/>
      </c>
    </row>
    <row r="367" customFormat="false" ht="15" hidden="false" customHeight="false" outlineLevel="0" collapsed="false">
      <c r="A367" s="19"/>
      <c r="B367" s="7"/>
      <c r="C367" s="7"/>
      <c r="D367" s="7"/>
      <c r="E367" s="17"/>
      <c r="F367" s="17"/>
      <c r="G367" s="7"/>
      <c r="H367" s="20" t="n">
        <f aca="false">IF(G367="Card",ROUND((E367+F367)*Settings!$B$8+Settings!$B$9,2),0)</f>
        <v>0</v>
      </c>
      <c r="I367" s="20" t="str">
        <f aca="false">IF(A367="","",E367+F367-H367)</f>
        <v/>
      </c>
      <c r="J367" s="21" t="str">
        <f aca="false">IF(A367="","",MONTH(A367))</f>
        <v/>
      </c>
    </row>
    <row r="368" customFormat="false" ht="15" hidden="false" customHeight="false" outlineLevel="0" collapsed="false">
      <c r="A368" s="19"/>
      <c r="B368" s="7"/>
      <c r="C368" s="7"/>
      <c r="D368" s="7"/>
      <c r="E368" s="17"/>
      <c r="F368" s="17"/>
      <c r="G368" s="7"/>
      <c r="H368" s="20" t="n">
        <f aca="false">IF(G368="Card",ROUND((E368+F368)*Settings!$B$8+Settings!$B$9,2),0)</f>
        <v>0</v>
      </c>
      <c r="I368" s="20" t="str">
        <f aca="false">IF(A368="","",E368+F368-H368)</f>
        <v/>
      </c>
      <c r="J368" s="21" t="str">
        <f aca="false">IF(A368="","",MONTH(A368))</f>
        <v/>
      </c>
    </row>
    <row r="369" customFormat="false" ht="15" hidden="false" customHeight="false" outlineLevel="0" collapsed="false">
      <c r="A369" s="19"/>
      <c r="B369" s="7"/>
      <c r="C369" s="7"/>
      <c r="D369" s="7"/>
      <c r="E369" s="17"/>
      <c r="F369" s="17"/>
      <c r="G369" s="7"/>
      <c r="H369" s="20" t="n">
        <f aca="false">IF(G369="Card",ROUND((E369+F369)*Settings!$B$8+Settings!$B$9,2),0)</f>
        <v>0</v>
      </c>
      <c r="I369" s="20" t="str">
        <f aca="false">IF(A369="","",E369+F369-H369)</f>
        <v/>
      </c>
      <c r="J369" s="21" t="str">
        <f aca="false">IF(A369="","",MONTH(A369))</f>
        <v/>
      </c>
    </row>
    <row r="370" customFormat="false" ht="15" hidden="false" customHeight="false" outlineLevel="0" collapsed="false">
      <c r="A370" s="19"/>
      <c r="B370" s="7"/>
      <c r="C370" s="7"/>
      <c r="D370" s="7"/>
      <c r="E370" s="17"/>
      <c r="F370" s="17"/>
      <c r="G370" s="7"/>
      <c r="H370" s="20" t="n">
        <f aca="false">IF(G370="Card",ROUND((E370+F370)*Settings!$B$8+Settings!$B$9,2),0)</f>
        <v>0</v>
      </c>
      <c r="I370" s="20" t="str">
        <f aca="false">IF(A370="","",E370+F370-H370)</f>
        <v/>
      </c>
      <c r="J370" s="21" t="str">
        <f aca="false">IF(A370="","",MONTH(A370))</f>
        <v/>
      </c>
    </row>
    <row r="371" customFormat="false" ht="15" hidden="false" customHeight="false" outlineLevel="0" collapsed="false">
      <c r="A371" s="19"/>
      <c r="B371" s="7"/>
      <c r="C371" s="7"/>
      <c r="D371" s="7"/>
      <c r="E371" s="17"/>
      <c r="F371" s="17"/>
      <c r="G371" s="7"/>
      <c r="H371" s="20" t="n">
        <f aca="false">IF(G371="Card",ROUND((E371+F371)*Settings!$B$8+Settings!$B$9,2),0)</f>
        <v>0</v>
      </c>
      <c r="I371" s="20" t="str">
        <f aca="false">IF(A371="","",E371+F371-H371)</f>
        <v/>
      </c>
      <c r="J371" s="21" t="str">
        <f aca="false">IF(A371="","",MONTH(A371))</f>
        <v/>
      </c>
    </row>
    <row r="372" customFormat="false" ht="15" hidden="false" customHeight="false" outlineLevel="0" collapsed="false">
      <c r="A372" s="19"/>
      <c r="B372" s="7"/>
      <c r="C372" s="7"/>
      <c r="D372" s="7"/>
      <c r="E372" s="17"/>
      <c r="F372" s="17"/>
      <c r="G372" s="7"/>
      <c r="H372" s="20" t="n">
        <f aca="false">IF(G372="Card",ROUND((E372+F372)*Settings!$B$8+Settings!$B$9,2),0)</f>
        <v>0</v>
      </c>
      <c r="I372" s="20" t="str">
        <f aca="false">IF(A372="","",E372+F372-H372)</f>
        <v/>
      </c>
      <c r="J372" s="21" t="str">
        <f aca="false">IF(A372="","",MONTH(A372))</f>
        <v/>
      </c>
    </row>
    <row r="373" customFormat="false" ht="15" hidden="false" customHeight="false" outlineLevel="0" collapsed="false">
      <c r="A373" s="19"/>
      <c r="B373" s="7"/>
      <c r="C373" s="7"/>
      <c r="D373" s="7"/>
      <c r="E373" s="17"/>
      <c r="F373" s="17"/>
      <c r="G373" s="7"/>
      <c r="H373" s="20" t="n">
        <f aca="false">IF(G373="Card",ROUND((E373+F373)*Settings!$B$8+Settings!$B$9,2),0)</f>
        <v>0</v>
      </c>
      <c r="I373" s="20" t="str">
        <f aca="false">IF(A373="","",E373+F373-H373)</f>
        <v/>
      </c>
      <c r="J373" s="21" t="str">
        <f aca="false">IF(A373="","",MONTH(A373))</f>
        <v/>
      </c>
    </row>
    <row r="374" customFormat="false" ht="15" hidden="false" customHeight="false" outlineLevel="0" collapsed="false">
      <c r="A374" s="19"/>
      <c r="B374" s="7"/>
      <c r="C374" s="7"/>
      <c r="D374" s="7"/>
      <c r="E374" s="17"/>
      <c r="F374" s="17"/>
      <c r="G374" s="7"/>
      <c r="H374" s="20" t="n">
        <f aca="false">IF(G374="Card",ROUND((E374+F374)*Settings!$B$8+Settings!$B$9,2),0)</f>
        <v>0</v>
      </c>
      <c r="I374" s="20" t="str">
        <f aca="false">IF(A374="","",E374+F374-H374)</f>
        <v/>
      </c>
      <c r="J374" s="21" t="str">
        <f aca="false">IF(A374="","",MONTH(A374))</f>
        <v/>
      </c>
    </row>
    <row r="375" customFormat="false" ht="15" hidden="false" customHeight="false" outlineLevel="0" collapsed="false">
      <c r="A375" s="19"/>
      <c r="B375" s="7"/>
      <c r="C375" s="7"/>
      <c r="D375" s="7"/>
      <c r="E375" s="17"/>
      <c r="F375" s="17"/>
      <c r="G375" s="7"/>
      <c r="H375" s="20" t="n">
        <f aca="false">IF(G375="Card",ROUND((E375+F375)*Settings!$B$8+Settings!$B$9,2),0)</f>
        <v>0</v>
      </c>
      <c r="I375" s="20" t="str">
        <f aca="false">IF(A375="","",E375+F375-H375)</f>
        <v/>
      </c>
      <c r="J375" s="21" t="str">
        <f aca="false">IF(A375="","",MONTH(A375))</f>
        <v/>
      </c>
    </row>
    <row r="376" customFormat="false" ht="15" hidden="false" customHeight="false" outlineLevel="0" collapsed="false">
      <c r="A376" s="19"/>
      <c r="B376" s="7"/>
      <c r="C376" s="7"/>
      <c r="D376" s="7"/>
      <c r="E376" s="17"/>
      <c r="F376" s="17"/>
      <c r="G376" s="7"/>
      <c r="H376" s="20" t="n">
        <f aca="false">IF(G376="Card",ROUND((E376+F376)*Settings!$B$8+Settings!$B$9,2),0)</f>
        <v>0</v>
      </c>
      <c r="I376" s="20" t="str">
        <f aca="false">IF(A376="","",E376+F376-H376)</f>
        <v/>
      </c>
      <c r="J376" s="21" t="str">
        <f aca="false">IF(A376="","",MONTH(A376))</f>
        <v/>
      </c>
    </row>
    <row r="377" customFormat="false" ht="15" hidden="false" customHeight="false" outlineLevel="0" collapsed="false">
      <c r="A377" s="19"/>
      <c r="B377" s="7"/>
      <c r="C377" s="7"/>
      <c r="D377" s="7"/>
      <c r="E377" s="17"/>
      <c r="F377" s="17"/>
      <c r="G377" s="7"/>
      <c r="H377" s="20" t="n">
        <f aca="false">IF(G377="Card",ROUND((E377+F377)*Settings!$B$8+Settings!$B$9,2),0)</f>
        <v>0</v>
      </c>
      <c r="I377" s="20" t="str">
        <f aca="false">IF(A377="","",E377+F377-H377)</f>
        <v/>
      </c>
      <c r="J377" s="21" t="str">
        <f aca="false">IF(A377="","",MONTH(A377))</f>
        <v/>
      </c>
    </row>
    <row r="378" customFormat="false" ht="15" hidden="false" customHeight="false" outlineLevel="0" collapsed="false">
      <c r="A378" s="19"/>
      <c r="B378" s="7"/>
      <c r="C378" s="7"/>
      <c r="D378" s="7"/>
      <c r="E378" s="17"/>
      <c r="F378" s="17"/>
      <c r="G378" s="7"/>
      <c r="H378" s="20" t="n">
        <f aca="false">IF(G378="Card",ROUND((E378+F378)*Settings!$B$8+Settings!$B$9,2),0)</f>
        <v>0</v>
      </c>
      <c r="I378" s="20" t="str">
        <f aca="false">IF(A378="","",E378+F378-H378)</f>
        <v/>
      </c>
      <c r="J378" s="21" t="str">
        <f aca="false">IF(A378="","",MONTH(A378))</f>
        <v/>
      </c>
    </row>
    <row r="379" customFormat="false" ht="15" hidden="false" customHeight="false" outlineLevel="0" collapsed="false">
      <c r="A379" s="19"/>
      <c r="B379" s="7"/>
      <c r="C379" s="7"/>
      <c r="D379" s="7"/>
      <c r="E379" s="17"/>
      <c r="F379" s="17"/>
      <c r="G379" s="7"/>
      <c r="H379" s="20" t="n">
        <f aca="false">IF(G379="Card",ROUND((E379+F379)*Settings!$B$8+Settings!$B$9,2),0)</f>
        <v>0</v>
      </c>
      <c r="I379" s="20" t="str">
        <f aca="false">IF(A379="","",E379+F379-H379)</f>
        <v/>
      </c>
      <c r="J379" s="21" t="str">
        <f aca="false">IF(A379="","",MONTH(A379))</f>
        <v/>
      </c>
    </row>
    <row r="380" customFormat="false" ht="15" hidden="false" customHeight="false" outlineLevel="0" collapsed="false">
      <c r="A380" s="19"/>
      <c r="B380" s="7"/>
      <c r="C380" s="7"/>
      <c r="D380" s="7"/>
      <c r="E380" s="17"/>
      <c r="F380" s="17"/>
      <c r="G380" s="7"/>
      <c r="H380" s="20" t="n">
        <f aca="false">IF(G380="Card",ROUND((E380+F380)*Settings!$B$8+Settings!$B$9,2),0)</f>
        <v>0</v>
      </c>
      <c r="I380" s="20" t="str">
        <f aca="false">IF(A380="","",E380+F380-H380)</f>
        <v/>
      </c>
      <c r="J380" s="21" t="str">
        <f aca="false">IF(A380="","",MONTH(A380))</f>
        <v/>
      </c>
    </row>
    <row r="381" customFormat="false" ht="15" hidden="false" customHeight="false" outlineLevel="0" collapsed="false">
      <c r="A381" s="19"/>
      <c r="B381" s="7"/>
      <c r="C381" s="7"/>
      <c r="D381" s="7"/>
      <c r="E381" s="17"/>
      <c r="F381" s="17"/>
      <c r="G381" s="7"/>
      <c r="H381" s="20" t="n">
        <f aca="false">IF(G381="Card",ROUND((E381+F381)*Settings!$B$8+Settings!$B$9,2),0)</f>
        <v>0</v>
      </c>
      <c r="I381" s="20" t="str">
        <f aca="false">IF(A381="","",E381+F381-H381)</f>
        <v/>
      </c>
      <c r="J381" s="21" t="str">
        <f aca="false">IF(A381="","",MONTH(A381))</f>
        <v/>
      </c>
    </row>
    <row r="382" customFormat="false" ht="15" hidden="false" customHeight="false" outlineLevel="0" collapsed="false">
      <c r="A382" s="19"/>
      <c r="B382" s="7"/>
      <c r="C382" s="7"/>
      <c r="D382" s="7"/>
      <c r="E382" s="17"/>
      <c r="F382" s="17"/>
      <c r="G382" s="7"/>
      <c r="H382" s="20" t="n">
        <f aca="false">IF(G382="Card",ROUND((E382+F382)*Settings!$B$8+Settings!$B$9,2),0)</f>
        <v>0</v>
      </c>
      <c r="I382" s="20" t="str">
        <f aca="false">IF(A382="","",E382+F382-H382)</f>
        <v/>
      </c>
      <c r="J382" s="21" t="str">
        <f aca="false">IF(A382="","",MONTH(A382))</f>
        <v/>
      </c>
    </row>
    <row r="383" customFormat="false" ht="15" hidden="false" customHeight="false" outlineLevel="0" collapsed="false">
      <c r="A383" s="19"/>
      <c r="B383" s="7"/>
      <c r="C383" s="7"/>
      <c r="D383" s="7"/>
      <c r="E383" s="17"/>
      <c r="F383" s="17"/>
      <c r="G383" s="7"/>
      <c r="H383" s="20" t="n">
        <f aca="false">IF(G383="Card",ROUND((E383+F383)*Settings!$B$8+Settings!$B$9,2),0)</f>
        <v>0</v>
      </c>
      <c r="I383" s="20" t="str">
        <f aca="false">IF(A383="","",E383+F383-H383)</f>
        <v/>
      </c>
      <c r="J383" s="21" t="str">
        <f aca="false">IF(A383="","",MONTH(A383))</f>
        <v/>
      </c>
    </row>
    <row r="384" customFormat="false" ht="15" hidden="false" customHeight="false" outlineLevel="0" collapsed="false">
      <c r="A384" s="19"/>
      <c r="B384" s="7"/>
      <c r="C384" s="7"/>
      <c r="D384" s="7"/>
      <c r="E384" s="17"/>
      <c r="F384" s="17"/>
      <c r="G384" s="7"/>
      <c r="H384" s="20" t="n">
        <f aca="false">IF(G384="Card",ROUND((E384+F384)*Settings!$B$8+Settings!$B$9,2),0)</f>
        <v>0</v>
      </c>
      <c r="I384" s="20" t="str">
        <f aca="false">IF(A384="","",E384+F384-H384)</f>
        <v/>
      </c>
      <c r="J384" s="21" t="str">
        <f aca="false">IF(A384="","",MONTH(A384))</f>
        <v/>
      </c>
    </row>
    <row r="385" customFormat="false" ht="15" hidden="false" customHeight="false" outlineLevel="0" collapsed="false">
      <c r="A385" s="19"/>
      <c r="B385" s="7"/>
      <c r="C385" s="7"/>
      <c r="D385" s="7"/>
      <c r="E385" s="17"/>
      <c r="F385" s="17"/>
      <c r="G385" s="7"/>
      <c r="H385" s="20" t="n">
        <f aca="false">IF(G385="Card",ROUND((E385+F385)*Settings!$B$8+Settings!$B$9,2),0)</f>
        <v>0</v>
      </c>
      <c r="I385" s="20" t="str">
        <f aca="false">IF(A385="","",E385+F385-H385)</f>
        <v/>
      </c>
      <c r="J385" s="21" t="str">
        <f aca="false">IF(A385="","",MONTH(A385))</f>
        <v/>
      </c>
    </row>
    <row r="386" customFormat="false" ht="15" hidden="false" customHeight="false" outlineLevel="0" collapsed="false">
      <c r="A386" s="19"/>
      <c r="B386" s="7"/>
      <c r="C386" s="7"/>
      <c r="D386" s="7"/>
      <c r="E386" s="17"/>
      <c r="F386" s="17"/>
      <c r="G386" s="7"/>
      <c r="H386" s="20" t="n">
        <f aca="false">IF(G386="Card",ROUND((E386+F386)*Settings!$B$8+Settings!$B$9,2),0)</f>
        <v>0</v>
      </c>
      <c r="I386" s="20" t="str">
        <f aca="false">IF(A386="","",E386+F386-H386)</f>
        <v/>
      </c>
      <c r="J386" s="21" t="str">
        <f aca="false">IF(A386="","",MONTH(A386))</f>
        <v/>
      </c>
    </row>
    <row r="387" customFormat="false" ht="15" hidden="false" customHeight="false" outlineLevel="0" collapsed="false">
      <c r="A387" s="19"/>
      <c r="B387" s="7"/>
      <c r="C387" s="7"/>
      <c r="D387" s="7"/>
      <c r="E387" s="17"/>
      <c r="F387" s="17"/>
      <c r="G387" s="7"/>
      <c r="H387" s="20" t="n">
        <f aca="false">IF(G387="Card",ROUND((E387+F387)*Settings!$B$8+Settings!$B$9,2),0)</f>
        <v>0</v>
      </c>
      <c r="I387" s="20" t="str">
        <f aca="false">IF(A387="","",E387+F387-H387)</f>
        <v/>
      </c>
      <c r="J387" s="21" t="str">
        <f aca="false">IF(A387="","",MONTH(A387))</f>
        <v/>
      </c>
    </row>
    <row r="388" customFormat="false" ht="15" hidden="false" customHeight="false" outlineLevel="0" collapsed="false">
      <c r="A388" s="19"/>
      <c r="B388" s="7"/>
      <c r="C388" s="7"/>
      <c r="D388" s="7"/>
      <c r="E388" s="17"/>
      <c r="F388" s="17"/>
      <c r="G388" s="7"/>
      <c r="H388" s="20" t="n">
        <f aca="false">IF(G388="Card",ROUND((E388+F388)*Settings!$B$8+Settings!$B$9,2),0)</f>
        <v>0</v>
      </c>
      <c r="I388" s="20" t="str">
        <f aca="false">IF(A388="","",E388+F388-H388)</f>
        <v/>
      </c>
      <c r="J388" s="21" t="str">
        <f aca="false">IF(A388="","",MONTH(A388))</f>
        <v/>
      </c>
    </row>
    <row r="389" customFormat="false" ht="15" hidden="false" customHeight="false" outlineLevel="0" collapsed="false">
      <c r="A389" s="19"/>
      <c r="B389" s="7"/>
      <c r="C389" s="7"/>
      <c r="D389" s="7"/>
      <c r="E389" s="17"/>
      <c r="F389" s="17"/>
      <c r="G389" s="7"/>
      <c r="H389" s="20" t="n">
        <f aca="false">IF(G389="Card",ROUND((E389+F389)*Settings!$B$8+Settings!$B$9,2),0)</f>
        <v>0</v>
      </c>
      <c r="I389" s="20" t="str">
        <f aca="false">IF(A389="","",E389+F389-H389)</f>
        <v/>
      </c>
      <c r="J389" s="21" t="str">
        <f aca="false">IF(A389="","",MONTH(A389))</f>
        <v/>
      </c>
    </row>
    <row r="390" customFormat="false" ht="15" hidden="false" customHeight="false" outlineLevel="0" collapsed="false">
      <c r="A390" s="19"/>
      <c r="B390" s="7"/>
      <c r="C390" s="7"/>
      <c r="D390" s="7"/>
      <c r="E390" s="17"/>
      <c r="F390" s="17"/>
      <c r="G390" s="7"/>
      <c r="H390" s="20" t="n">
        <f aca="false">IF(G390="Card",ROUND((E390+F390)*Settings!$B$8+Settings!$B$9,2),0)</f>
        <v>0</v>
      </c>
      <c r="I390" s="20" t="str">
        <f aca="false">IF(A390="","",E390+F390-H390)</f>
        <v/>
      </c>
      <c r="J390" s="21" t="str">
        <f aca="false">IF(A390="","",MONTH(A390))</f>
        <v/>
      </c>
    </row>
    <row r="391" customFormat="false" ht="15" hidden="false" customHeight="false" outlineLevel="0" collapsed="false">
      <c r="A391" s="19"/>
      <c r="B391" s="7"/>
      <c r="C391" s="7"/>
      <c r="D391" s="7"/>
      <c r="E391" s="17"/>
      <c r="F391" s="17"/>
      <c r="G391" s="7"/>
      <c r="H391" s="20" t="n">
        <f aca="false">IF(G391="Card",ROUND((E391+F391)*Settings!$B$8+Settings!$B$9,2),0)</f>
        <v>0</v>
      </c>
      <c r="I391" s="20" t="str">
        <f aca="false">IF(A391="","",E391+F391-H391)</f>
        <v/>
      </c>
      <c r="J391" s="21" t="str">
        <f aca="false">IF(A391="","",MONTH(A391))</f>
        <v/>
      </c>
    </row>
    <row r="392" customFormat="false" ht="15" hidden="false" customHeight="false" outlineLevel="0" collapsed="false">
      <c r="A392" s="19"/>
      <c r="B392" s="7"/>
      <c r="C392" s="7"/>
      <c r="D392" s="7"/>
      <c r="E392" s="17"/>
      <c r="F392" s="17"/>
      <c r="G392" s="7"/>
      <c r="H392" s="20" t="n">
        <f aca="false">IF(G392="Card",ROUND((E392+F392)*Settings!$B$8+Settings!$B$9,2),0)</f>
        <v>0</v>
      </c>
      <c r="I392" s="20" t="str">
        <f aca="false">IF(A392="","",E392+F392-H392)</f>
        <v/>
      </c>
      <c r="J392" s="21" t="str">
        <f aca="false">IF(A392="","",MONTH(A392))</f>
        <v/>
      </c>
    </row>
    <row r="393" customFormat="false" ht="15" hidden="false" customHeight="false" outlineLevel="0" collapsed="false">
      <c r="A393" s="19"/>
      <c r="B393" s="7"/>
      <c r="C393" s="7"/>
      <c r="D393" s="7"/>
      <c r="E393" s="17"/>
      <c r="F393" s="17"/>
      <c r="G393" s="7"/>
      <c r="H393" s="20" t="n">
        <f aca="false">IF(G393="Card",ROUND((E393+F393)*Settings!$B$8+Settings!$B$9,2),0)</f>
        <v>0</v>
      </c>
      <c r="I393" s="20" t="str">
        <f aca="false">IF(A393="","",E393+F393-H393)</f>
        <v/>
      </c>
      <c r="J393" s="21" t="str">
        <f aca="false">IF(A393="","",MONTH(A393))</f>
        <v/>
      </c>
    </row>
    <row r="394" customFormat="false" ht="15" hidden="false" customHeight="false" outlineLevel="0" collapsed="false">
      <c r="A394" s="19"/>
      <c r="B394" s="7"/>
      <c r="C394" s="7"/>
      <c r="D394" s="7"/>
      <c r="E394" s="17"/>
      <c r="F394" s="17"/>
      <c r="G394" s="7"/>
      <c r="H394" s="20" t="n">
        <f aca="false">IF(G394="Card",ROUND((E394+F394)*Settings!$B$8+Settings!$B$9,2),0)</f>
        <v>0</v>
      </c>
      <c r="I394" s="20" t="str">
        <f aca="false">IF(A394="","",E394+F394-H394)</f>
        <v/>
      </c>
      <c r="J394" s="21" t="str">
        <f aca="false">IF(A394="","",MONTH(A394))</f>
        <v/>
      </c>
    </row>
    <row r="395" customFormat="false" ht="15" hidden="false" customHeight="false" outlineLevel="0" collapsed="false">
      <c r="A395" s="19"/>
      <c r="B395" s="7"/>
      <c r="C395" s="7"/>
      <c r="D395" s="7"/>
      <c r="E395" s="17"/>
      <c r="F395" s="17"/>
      <c r="G395" s="7"/>
      <c r="H395" s="20" t="n">
        <f aca="false">IF(G395="Card",ROUND((E395+F395)*Settings!$B$8+Settings!$B$9,2),0)</f>
        <v>0</v>
      </c>
      <c r="I395" s="20" t="str">
        <f aca="false">IF(A395="","",E395+F395-H395)</f>
        <v/>
      </c>
      <c r="J395" s="21" t="str">
        <f aca="false">IF(A395="","",MONTH(A395))</f>
        <v/>
      </c>
    </row>
    <row r="396" customFormat="false" ht="15" hidden="false" customHeight="false" outlineLevel="0" collapsed="false">
      <c r="A396" s="19"/>
      <c r="B396" s="7"/>
      <c r="C396" s="7"/>
      <c r="D396" s="7"/>
      <c r="E396" s="17"/>
      <c r="F396" s="17"/>
      <c r="G396" s="7"/>
      <c r="H396" s="20" t="n">
        <f aca="false">IF(G396="Card",ROUND((E396+F396)*Settings!$B$8+Settings!$B$9,2),0)</f>
        <v>0</v>
      </c>
      <c r="I396" s="20" t="str">
        <f aca="false">IF(A396="","",E396+F396-H396)</f>
        <v/>
      </c>
      <c r="J396" s="21" t="str">
        <f aca="false">IF(A396="","",MONTH(A396))</f>
        <v/>
      </c>
    </row>
    <row r="397" customFormat="false" ht="15" hidden="false" customHeight="false" outlineLevel="0" collapsed="false">
      <c r="A397" s="19"/>
      <c r="B397" s="7"/>
      <c r="C397" s="7"/>
      <c r="D397" s="7"/>
      <c r="E397" s="17"/>
      <c r="F397" s="17"/>
      <c r="G397" s="7"/>
      <c r="H397" s="20" t="n">
        <f aca="false">IF(G397="Card",ROUND((E397+F397)*Settings!$B$8+Settings!$B$9,2),0)</f>
        <v>0</v>
      </c>
      <c r="I397" s="20" t="str">
        <f aca="false">IF(A397="","",E397+F397-H397)</f>
        <v/>
      </c>
      <c r="J397" s="21" t="str">
        <f aca="false">IF(A397="","",MONTH(A397))</f>
        <v/>
      </c>
    </row>
    <row r="398" customFormat="false" ht="15" hidden="false" customHeight="false" outlineLevel="0" collapsed="false">
      <c r="A398" s="19"/>
      <c r="B398" s="7"/>
      <c r="C398" s="7"/>
      <c r="D398" s="7"/>
      <c r="E398" s="17"/>
      <c r="F398" s="17"/>
      <c r="G398" s="7"/>
      <c r="H398" s="20" t="n">
        <f aca="false">IF(G398="Card",ROUND((E398+F398)*Settings!$B$8+Settings!$B$9,2),0)</f>
        <v>0</v>
      </c>
      <c r="I398" s="20" t="str">
        <f aca="false">IF(A398="","",E398+F398-H398)</f>
        <v/>
      </c>
      <c r="J398" s="21" t="str">
        <f aca="false">IF(A398="","",MONTH(A398))</f>
        <v/>
      </c>
    </row>
    <row r="399" customFormat="false" ht="15" hidden="false" customHeight="false" outlineLevel="0" collapsed="false">
      <c r="A399" s="19"/>
      <c r="B399" s="7"/>
      <c r="C399" s="7"/>
      <c r="D399" s="7"/>
      <c r="E399" s="17"/>
      <c r="F399" s="17"/>
      <c r="G399" s="7"/>
      <c r="H399" s="20" t="n">
        <f aca="false">IF(G399="Card",ROUND((E399+F399)*Settings!$B$8+Settings!$B$9,2),0)</f>
        <v>0</v>
      </c>
      <c r="I399" s="20" t="str">
        <f aca="false">IF(A399="","",E399+F399-H399)</f>
        <v/>
      </c>
      <c r="J399" s="21" t="str">
        <f aca="false">IF(A399="","",MONTH(A399))</f>
        <v/>
      </c>
    </row>
    <row r="400" customFormat="false" ht="15" hidden="false" customHeight="false" outlineLevel="0" collapsed="false">
      <c r="A400" s="19"/>
      <c r="B400" s="7"/>
      <c r="C400" s="7"/>
      <c r="D400" s="7"/>
      <c r="E400" s="17"/>
      <c r="F400" s="17"/>
      <c r="G400" s="7"/>
      <c r="H400" s="20" t="n">
        <f aca="false">IF(G400="Card",ROUND((E400+F400)*Settings!$B$8+Settings!$B$9,2),0)</f>
        <v>0</v>
      </c>
      <c r="I400" s="20" t="str">
        <f aca="false">IF(A400="","",E400+F400-H400)</f>
        <v/>
      </c>
      <c r="J400" s="21" t="str">
        <f aca="false">IF(A400="","",MONTH(A400))</f>
        <v/>
      </c>
    </row>
    <row r="401" customFormat="false" ht="15" hidden="false" customHeight="false" outlineLevel="0" collapsed="false">
      <c r="A401" s="19"/>
      <c r="B401" s="7"/>
      <c r="C401" s="7"/>
      <c r="D401" s="7"/>
      <c r="E401" s="17"/>
      <c r="F401" s="17"/>
      <c r="G401" s="7"/>
      <c r="H401" s="20" t="n">
        <f aca="false">IF(G401="Card",ROUND((E401+F401)*Settings!$B$8+Settings!$B$9,2),0)</f>
        <v>0</v>
      </c>
      <c r="I401" s="20" t="str">
        <f aca="false">IF(A401="","",E401+F401-H401)</f>
        <v/>
      </c>
      <c r="J401" s="21" t="str">
        <f aca="false">IF(A401="","",MONTH(A401))</f>
        <v/>
      </c>
    </row>
    <row r="402" customFormat="false" ht="15" hidden="false" customHeight="false" outlineLevel="0" collapsed="false">
      <c r="A402" s="19"/>
      <c r="B402" s="7"/>
      <c r="C402" s="7"/>
      <c r="D402" s="7"/>
      <c r="E402" s="17"/>
      <c r="F402" s="17"/>
      <c r="G402" s="7"/>
      <c r="H402" s="20" t="n">
        <f aca="false">IF(G402="Card",ROUND((E402+F402)*Settings!$B$8+Settings!$B$9,2),0)</f>
        <v>0</v>
      </c>
      <c r="I402" s="20" t="str">
        <f aca="false">IF(A402="","",E402+F402-H402)</f>
        <v/>
      </c>
      <c r="J402" s="21" t="str">
        <f aca="false">IF(A402="","",MONTH(A402))</f>
        <v/>
      </c>
    </row>
    <row r="403" customFormat="false" ht="15" hidden="false" customHeight="false" outlineLevel="0" collapsed="false">
      <c r="A403" s="19"/>
      <c r="B403" s="7"/>
      <c r="C403" s="7"/>
      <c r="D403" s="7"/>
      <c r="E403" s="17"/>
      <c r="F403" s="17"/>
      <c r="G403" s="7"/>
      <c r="H403" s="20" t="n">
        <f aca="false">IF(G403="Card",ROUND((E403+F403)*Settings!$B$8+Settings!$B$9,2),0)</f>
        <v>0</v>
      </c>
      <c r="I403" s="20" t="str">
        <f aca="false">IF(A403="","",E403+F403-H403)</f>
        <v/>
      </c>
      <c r="J403" s="21" t="str">
        <f aca="false">IF(A403="","",MONTH(A403))</f>
        <v/>
      </c>
    </row>
    <row r="404" customFormat="false" ht="15" hidden="false" customHeight="false" outlineLevel="0" collapsed="false">
      <c r="A404" s="19"/>
      <c r="B404" s="7"/>
      <c r="C404" s="7"/>
      <c r="D404" s="7"/>
      <c r="E404" s="17"/>
      <c r="F404" s="17"/>
      <c r="G404" s="7"/>
      <c r="H404" s="20" t="n">
        <f aca="false">IF(G404="Card",ROUND((E404+F404)*Settings!$B$8+Settings!$B$9,2),0)</f>
        <v>0</v>
      </c>
      <c r="I404" s="20" t="str">
        <f aca="false">IF(A404="","",E404+F404-H404)</f>
        <v/>
      </c>
      <c r="J404" s="21" t="str">
        <f aca="false">IF(A404="","",MONTH(A404))</f>
        <v/>
      </c>
    </row>
    <row r="405" customFormat="false" ht="15" hidden="false" customHeight="false" outlineLevel="0" collapsed="false">
      <c r="A405" s="19"/>
      <c r="B405" s="7"/>
      <c r="C405" s="7"/>
      <c r="D405" s="7"/>
      <c r="E405" s="17"/>
      <c r="F405" s="17"/>
      <c r="G405" s="7"/>
      <c r="H405" s="20" t="n">
        <f aca="false">IF(G405="Card",ROUND((E405+F405)*Settings!$B$8+Settings!$B$9,2),0)</f>
        <v>0</v>
      </c>
      <c r="I405" s="20" t="str">
        <f aca="false">IF(A405="","",E405+F405-H405)</f>
        <v/>
      </c>
      <c r="J405" s="21" t="str">
        <f aca="false">IF(A405="","",MONTH(A405))</f>
        <v/>
      </c>
    </row>
    <row r="406" customFormat="false" ht="15" hidden="false" customHeight="false" outlineLevel="0" collapsed="false">
      <c r="A406" s="19"/>
      <c r="B406" s="7"/>
      <c r="C406" s="7"/>
      <c r="D406" s="7"/>
      <c r="E406" s="17"/>
      <c r="F406" s="17"/>
      <c r="G406" s="7"/>
      <c r="H406" s="20" t="n">
        <f aca="false">IF(G406="Card",ROUND((E406+F406)*Settings!$B$8+Settings!$B$9,2),0)</f>
        <v>0</v>
      </c>
      <c r="I406" s="20" t="str">
        <f aca="false">IF(A406="","",E406+F406-H406)</f>
        <v/>
      </c>
      <c r="J406" s="21" t="str">
        <f aca="false">IF(A406="","",MONTH(A406))</f>
        <v/>
      </c>
    </row>
    <row r="407" customFormat="false" ht="15" hidden="false" customHeight="false" outlineLevel="0" collapsed="false">
      <c r="A407" s="19"/>
      <c r="B407" s="7"/>
      <c r="C407" s="7"/>
      <c r="D407" s="7"/>
      <c r="E407" s="17"/>
      <c r="F407" s="17"/>
      <c r="G407" s="7"/>
      <c r="H407" s="20" t="n">
        <f aca="false">IF(G407="Card",ROUND((E407+F407)*Settings!$B$8+Settings!$B$9,2),0)</f>
        <v>0</v>
      </c>
      <c r="I407" s="20" t="str">
        <f aca="false">IF(A407="","",E407+F407-H407)</f>
        <v/>
      </c>
      <c r="J407" s="21" t="str">
        <f aca="false">IF(A407="","",MONTH(A407))</f>
        <v/>
      </c>
    </row>
    <row r="408" customFormat="false" ht="15" hidden="false" customHeight="false" outlineLevel="0" collapsed="false">
      <c r="A408" s="19"/>
      <c r="B408" s="7"/>
      <c r="C408" s="7"/>
      <c r="D408" s="7"/>
      <c r="E408" s="17"/>
      <c r="F408" s="17"/>
      <c r="G408" s="7"/>
      <c r="H408" s="20" t="n">
        <f aca="false">IF(G408="Card",ROUND((E408+F408)*Settings!$B$8+Settings!$B$9,2),0)</f>
        <v>0</v>
      </c>
      <c r="I408" s="20" t="str">
        <f aca="false">IF(A408="","",E408+F408-H408)</f>
        <v/>
      </c>
      <c r="J408" s="21" t="str">
        <f aca="false">IF(A408="","",MONTH(A408))</f>
        <v/>
      </c>
    </row>
    <row r="409" customFormat="false" ht="15" hidden="false" customHeight="false" outlineLevel="0" collapsed="false">
      <c r="A409" s="19"/>
      <c r="B409" s="7"/>
      <c r="C409" s="7"/>
      <c r="D409" s="7"/>
      <c r="E409" s="17"/>
      <c r="F409" s="17"/>
      <c r="G409" s="7"/>
      <c r="H409" s="20" t="n">
        <f aca="false">IF(G409="Card",ROUND((E409+F409)*Settings!$B$8+Settings!$B$9,2),0)</f>
        <v>0</v>
      </c>
      <c r="I409" s="20" t="str">
        <f aca="false">IF(A409="","",E409+F409-H409)</f>
        <v/>
      </c>
      <c r="J409" s="21" t="str">
        <f aca="false">IF(A409="","",MONTH(A409))</f>
        <v/>
      </c>
    </row>
    <row r="410" customFormat="false" ht="15" hidden="false" customHeight="false" outlineLevel="0" collapsed="false">
      <c r="A410" s="19"/>
      <c r="B410" s="7"/>
      <c r="C410" s="7"/>
      <c r="D410" s="7"/>
      <c r="E410" s="17"/>
      <c r="F410" s="17"/>
      <c r="G410" s="7"/>
      <c r="H410" s="20" t="n">
        <f aca="false">IF(G410="Card",ROUND((E410+F410)*Settings!$B$8+Settings!$B$9,2),0)</f>
        <v>0</v>
      </c>
      <c r="I410" s="20" t="str">
        <f aca="false">IF(A410="","",E410+F410-H410)</f>
        <v/>
      </c>
      <c r="J410" s="21" t="str">
        <f aca="false">IF(A410="","",MONTH(A410))</f>
        <v/>
      </c>
    </row>
    <row r="411" customFormat="false" ht="15" hidden="false" customHeight="false" outlineLevel="0" collapsed="false">
      <c r="A411" s="19"/>
      <c r="B411" s="7"/>
      <c r="C411" s="7"/>
      <c r="D411" s="7"/>
      <c r="E411" s="17"/>
      <c r="F411" s="17"/>
      <c r="G411" s="7"/>
      <c r="H411" s="20" t="n">
        <f aca="false">IF(G411="Card",ROUND((E411+F411)*Settings!$B$8+Settings!$B$9,2),0)</f>
        <v>0</v>
      </c>
      <c r="I411" s="20" t="str">
        <f aca="false">IF(A411="","",E411+F411-H411)</f>
        <v/>
      </c>
      <c r="J411" s="21" t="str">
        <f aca="false">IF(A411="","",MONTH(A411))</f>
        <v/>
      </c>
    </row>
    <row r="412" customFormat="false" ht="15" hidden="false" customHeight="false" outlineLevel="0" collapsed="false">
      <c r="A412" s="19"/>
      <c r="B412" s="7"/>
      <c r="C412" s="7"/>
      <c r="D412" s="7"/>
      <c r="E412" s="17"/>
      <c r="F412" s="17"/>
      <c r="G412" s="7"/>
      <c r="H412" s="20" t="n">
        <f aca="false">IF(G412="Card",ROUND((E412+F412)*Settings!$B$8+Settings!$B$9,2),0)</f>
        <v>0</v>
      </c>
      <c r="I412" s="20" t="str">
        <f aca="false">IF(A412="","",E412+F412-H412)</f>
        <v/>
      </c>
      <c r="J412" s="21" t="str">
        <f aca="false">IF(A412="","",MONTH(A412))</f>
        <v/>
      </c>
    </row>
    <row r="413" customFormat="false" ht="15" hidden="false" customHeight="false" outlineLevel="0" collapsed="false">
      <c r="A413" s="19"/>
      <c r="B413" s="7"/>
      <c r="C413" s="7"/>
      <c r="D413" s="7"/>
      <c r="E413" s="17"/>
      <c r="F413" s="17"/>
      <c r="G413" s="7"/>
      <c r="H413" s="20" t="n">
        <f aca="false">IF(G413="Card",ROUND((E413+F413)*Settings!$B$8+Settings!$B$9,2),0)</f>
        <v>0</v>
      </c>
      <c r="I413" s="20" t="str">
        <f aca="false">IF(A413="","",E413+F413-H413)</f>
        <v/>
      </c>
      <c r="J413" s="21" t="str">
        <f aca="false">IF(A413="","",MONTH(A413))</f>
        <v/>
      </c>
    </row>
    <row r="414" customFormat="false" ht="15" hidden="false" customHeight="false" outlineLevel="0" collapsed="false">
      <c r="A414" s="19"/>
      <c r="B414" s="7"/>
      <c r="C414" s="7"/>
      <c r="D414" s="7"/>
      <c r="E414" s="17"/>
      <c r="F414" s="17"/>
      <c r="G414" s="7"/>
      <c r="H414" s="20" t="n">
        <f aca="false">IF(G414="Card",ROUND((E414+F414)*Settings!$B$8+Settings!$B$9,2),0)</f>
        <v>0</v>
      </c>
      <c r="I414" s="20" t="str">
        <f aca="false">IF(A414="","",E414+F414-H414)</f>
        <v/>
      </c>
      <c r="J414" s="21" t="str">
        <f aca="false">IF(A414="","",MONTH(A414))</f>
        <v/>
      </c>
    </row>
    <row r="415" customFormat="false" ht="15" hidden="false" customHeight="false" outlineLevel="0" collapsed="false">
      <c r="A415" s="19"/>
      <c r="B415" s="7"/>
      <c r="C415" s="7"/>
      <c r="D415" s="7"/>
      <c r="E415" s="17"/>
      <c r="F415" s="17"/>
      <c r="G415" s="7"/>
      <c r="H415" s="20" t="n">
        <f aca="false">IF(G415="Card",ROUND((E415+F415)*Settings!$B$8+Settings!$B$9,2),0)</f>
        <v>0</v>
      </c>
      <c r="I415" s="20" t="str">
        <f aca="false">IF(A415="","",E415+F415-H415)</f>
        <v/>
      </c>
      <c r="J415" s="21" t="str">
        <f aca="false">IF(A415="","",MONTH(A415))</f>
        <v/>
      </c>
    </row>
    <row r="416" customFormat="false" ht="15" hidden="false" customHeight="false" outlineLevel="0" collapsed="false">
      <c r="A416" s="19"/>
      <c r="B416" s="7"/>
      <c r="C416" s="7"/>
      <c r="D416" s="7"/>
      <c r="E416" s="17"/>
      <c r="F416" s="17"/>
      <c r="G416" s="7"/>
      <c r="H416" s="20" t="n">
        <f aca="false">IF(G416="Card",ROUND((E416+F416)*Settings!$B$8+Settings!$B$9,2),0)</f>
        <v>0</v>
      </c>
      <c r="I416" s="20" t="str">
        <f aca="false">IF(A416="","",E416+F416-H416)</f>
        <v/>
      </c>
      <c r="J416" s="21" t="str">
        <f aca="false">IF(A416="","",MONTH(A416))</f>
        <v/>
      </c>
    </row>
    <row r="417" customFormat="false" ht="15" hidden="false" customHeight="false" outlineLevel="0" collapsed="false">
      <c r="A417" s="19"/>
      <c r="B417" s="7"/>
      <c r="C417" s="7"/>
      <c r="D417" s="7"/>
      <c r="E417" s="17"/>
      <c r="F417" s="17"/>
      <c r="G417" s="7"/>
      <c r="H417" s="20" t="n">
        <f aca="false">IF(G417="Card",ROUND((E417+F417)*Settings!$B$8+Settings!$B$9,2),0)</f>
        <v>0</v>
      </c>
      <c r="I417" s="20" t="str">
        <f aca="false">IF(A417="","",E417+F417-H417)</f>
        <v/>
      </c>
      <c r="J417" s="21" t="str">
        <f aca="false">IF(A417="","",MONTH(A417))</f>
        <v/>
      </c>
    </row>
    <row r="418" customFormat="false" ht="15" hidden="false" customHeight="false" outlineLevel="0" collapsed="false">
      <c r="A418" s="19"/>
      <c r="B418" s="7"/>
      <c r="C418" s="7"/>
      <c r="D418" s="7"/>
      <c r="E418" s="17"/>
      <c r="F418" s="17"/>
      <c r="G418" s="7"/>
      <c r="H418" s="20" t="n">
        <f aca="false">IF(G418="Card",ROUND((E418+F418)*Settings!$B$8+Settings!$B$9,2),0)</f>
        <v>0</v>
      </c>
      <c r="I418" s="20" t="str">
        <f aca="false">IF(A418="","",E418+F418-H418)</f>
        <v/>
      </c>
      <c r="J418" s="21" t="str">
        <f aca="false">IF(A418="","",MONTH(A418))</f>
        <v/>
      </c>
    </row>
    <row r="419" customFormat="false" ht="15" hidden="false" customHeight="false" outlineLevel="0" collapsed="false">
      <c r="A419" s="19"/>
      <c r="B419" s="7"/>
      <c r="C419" s="7"/>
      <c r="D419" s="7"/>
      <c r="E419" s="17"/>
      <c r="F419" s="17"/>
      <c r="G419" s="7"/>
      <c r="H419" s="20" t="n">
        <f aca="false">IF(G419="Card",ROUND((E419+F419)*Settings!$B$8+Settings!$B$9,2),0)</f>
        <v>0</v>
      </c>
      <c r="I419" s="20" t="str">
        <f aca="false">IF(A419="","",E419+F419-H419)</f>
        <v/>
      </c>
      <c r="J419" s="21" t="str">
        <f aca="false">IF(A419="","",MONTH(A419))</f>
        <v/>
      </c>
    </row>
    <row r="420" customFormat="false" ht="15" hidden="false" customHeight="false" outlineLevel="0" collapsed="false">
      <c r="A420" s="19"/>
      <c r="B420" s="7"/>
      <c r="C420" s="7"/>
      <c r="D420" s="7"/>
      <c r="E420" s="17"/>
      <c r="F420" s="17"/>
      <c r="G420" s="7"/>
      <c r="H420" s="20" t="n">
        <f aca="false">IF(G420="Card",ROUND((E420+F420)*Settings!$B$8+Settings!$B$9,2),0)</f>
        <v>0</v>
      </c>
      <c r="I420" s="20" t="str">
        <f aca="false">IF(A420="","",E420+F420-H420)</f>
        <v/>
      </c>
      <c r="J420" s="21" t="str">
        <f aca="false">IF(A420="","",MONTH(A420))</f>
        <v/>
      </c>
    </row>
    <row r="421" customFormat="false" ht="15" hidden="false" customHeight="false" outlineLevel="0" collapsed="false">
      <c r="A421" s="19"/>
      <c r="B421" s="7"/>
      <c r="C421" s="7"/>
      <c r="D421" s="7"/>
      <c r="E421" s="17"/>
      <c r="F421" s="17"/>
      <c r="G421" s="7"/>
      <c r="H421" s="20" t="n">
        <f aca="false">IF(G421="Card",ROUND((E421+F421)*Settings!$B$8+Settings!$B$9,2),0)</f>
        <v>0</v>
      </c>
      <c r="I421" s="20" t="str">
        <f aca="false">IF(A421="","",E421+F421-H421)</f>
        <v/>
      </c>
      <c r="J421" s="21" t="str">
        <f aca="false">IF(A421="","",MONTH(A421))</f>
        <v/>
      </c>
    </row>
    <row r="422" customFormat="false" ht="15" hidden="false" customHeight="false" outlineLevel="0" collapsed="false">
      <c r="A422" s="19"/>
      <c r="B422" s="7"/>
      <c r="C422" s="7"/>
      <c r="D422" s="7"/>
      <c r="E422" s="17"/>
      <c r="F422" s="17"/>
      <c r="G422" s="7"/>
      <c r="H422" s="20" t="n">
        <f aca="false">IF(G422="Card",ROUND((E422+F422)*Settings!$B$8+Settings!$B$9,2),0)</f>
        <v>0</v>
      </c>
      <c r="I422" s="20" t="str">
        <f aca="false">IF(A422="","",E422+F422-H422)</f>
        <v/>
      </c>
      <c r="J422" s="21" t="str">
        <f aca="false">IF(A422="","",MONTH(A422))</f>
        <v/>
      </c>
    </row>
    <row r="423" customFormat="false" ht="15" hidden="false" customHeight="false" outlineLevel="0" collapsed="false">
      <c r="A423" s="19"/>
      <c r="B423" s="7"/>
      <c r="C423" s="7"/>
      <c r="D423" s="7"/>
      <c r="E423" s="17"/>
      <c r="F423" s="17"/>
      <c r="G423" s="7"/>
      <c r="H423" s="20" t="n">
        <f aca="false">IF(G423="Card",ROUND((E423+F423)*Settings!$B$8+Settings!$B$9,2),0)</f>
        <v>0</v>
      </c>
      <c r="I423" s="20" t="str">
        <f aca="false">IF(A423="","",E423+F423-H423)</f>
        <v/>
      </c>
      <c r="J423" s="21" t="str">
        <f aca="false">IF(A423="","",MONTH(A423))</f>
        <v/>
      </c>
    </row>
    <row r="424" customFormat="false" ht="15" hidden="false" customHeight="false" outlineLevel="0" collapsed="false">
      <c r="A424" s="19"/>
      <c r="B424" s="7"/>
      <c r="C424" s="7"/>
      <c r="D424" s="7"/>
      <c r="E424" s="17"/>
      <c r="F424" s="17"/>
      <c r="G424" s="7"/>
      <c r="H424" s="20" t="n">
        <f aca="false">IF(G424="Card",ROUND((E424+F424)*Settings!$B$8+Settings!$B$9,2),0)</f>
        <v>0</v>
      </c>
      <c r="I424" s="20" t="str">
        <f aca="false">IF(A424="","",E424+F424-H424)</f>
        <v/>
      </c>
      <c r="J424" s="21" t="str">
        <f aca="false">IF(A424="","",MONTH(A424))</f>
        <v/>
      </c>
    </row>
    <row r="425" customFormat="false" ht="15" hidden="false" customHeight="false" outlineLevel="0" collapsed="false">
      <c r="A425" s="19"/>
      <c r="B425" s="7"/>
      <c r="C425" s="7"/>
      <c r="D425" s="7"/>
      <c r="E425" s="17"/>
      <c r="F425" s="17"/>
      <c r="G425" s="7"/>
      <c r="H425" s="20" t="n">
        <f aca="false">IF(G425="Card",ROUND((E425+F425)*Settings!$B$8+Settings!$B$9,2),0)</f>
        <v>0</v>
      </c>
      <c r="I425" s="20" t="str">
        <f aca="false">IF(A425="","",E425+F425-H425)</f>
        <v/>
      </c>
      <c r="J425" s="21" t="str">
        <f aca="false">IF(A425="","",MONTH(A425))</f>
        <v/>
      </c>
    </row>
    <row r="426" customFormat="false" ht="15" hidden="false" customHeight="false" outlineLevel="0" collapsed="false">
      <c r="A426" s="19"/>
      <c r="B426" s="7"/>
      <c r="C426" s="7"/>
      <c r="D426" s="7"/>
      <c r="E426" s="17"/>
      <c r="F426" s="17"/>
      <c r="G426" s="7"/>
      <c r="H426" s="20" t="n">
        <f aca="false">IF(G426="Card",ROUND((E426+F426)*Settings!$B$8+Settings!$B$9,2),0)</f>
        <v>0</v>
      </c>
      <c r="I426" s="20" t="str">
        <f aca="false">IF(A426="","",E426+F426-H426)</f>
        <v/>
      </c>
      <c r="J426" s="21" t="str">
        <f aca="false">IF(A426="","",MONTH(A426))</f>
        <v/>
      </c>
    </row>
    <row r="427" customFormat="false" ht="15" hidden="false" customHeight="false" outlineLevel="0" collapsed="false">
      <c r="A427" s="19"/>
      <c r="B427" s="7"/>
      <c r="C427" s="7"/>
      <c r="D427" s="7"/>
      <c r="E427" s="17"/>
      <c r="F427" s="17"/>
      <c r="G427" s="7"/>
      <c r="H427" s="20" t="n">
        <f aca="false">IF(G427="Card",ROUND((E427+F427)*Settings!$B$8+Settings!$B$9,2),0)</f>
        <v>0</v>
      </c>
      <c r="I427" s="20" t="str">
        <f aca="false">IF(A427="","",E427+F427-H427)</f>
        <v/>
      </c>
      <c r="J427" s="21" t="str">
        <f aca="false">IF(A427="","",MONTH(A427))</f>
        <v/>
      </c>
    </row>
    <row r="428" customFormat="false" ht="15" hidden="false" customHeight="false" outlineLevel="0" collapsed="false">
      <c r="A428" s="19"/>
      <c r="B428" s="7"/>
      <c r="C428" s="7"/>
      <c r="D428" s="7"/>
      <c r="E428" s="17"/>
      <c r="F428" s="17"/>
      <c r="G428" s="7"/>
      <c r="H428" s="20" t="n">
        <f aca="false">IF(G428="Card",ROUND((E428+F428)*Settings!$B$8+Settings!$B$9,2),0)</f>
        <v>0</v>
      </c>
      <c r="I428" s="20" t="str">
        <f aca="false">IF(A428="","",E428+F428-H428)</f>
        <v/>
      </c>
      <c r="J428" s="21" t="str">
        <f aca="false">IF(A428="","",MONTH(A428))</f>
        <v/>
      </c>
    </row>
    <row r="429" customFormat="false" ht="15" hidden="false" customHeight="false" outlineLevel="0" collapsed="false">
      <c r="A429" s="19"/>
      <c r="B429" s="7"/>
      <c r="C429" s="7"/>
      <c r="D429" s="7"/>
      <c r="E429" s="17"/>
      <c r="F429" s="17"/>
      <c r="G429" s="7"/>
      <c r="H429" s="20" t="n">
        <f aca="false">IF(G429="Card",ROUND((E429+F429)*Settings!$B$8+Settings!$B$9,2),0)</f>
        <v>0</v>
      </c>
      <c r="I429" s="20" t="str">
        <f aca="false">IF(A429="","",E429+F429-H429)</f>
        <v/>
      </c>
      <c r="J429" s="21" t="str">
        <f aca="false">IF(A429="","",MONTH(A429))</f>
        <v/>
      </c>
    </row>
    <row r="430" customFormat="false" ht="15" hidden="false" customHeight="false" outlineLevel="0" collapsed="false">
      <c r="A430" s="19"/>
      <c r="B430" s="7"/>
      <c r="C430" s="7"/>
      <c r="D430" s="7"/>
      <c r="E430" s="17"/>
      <c r="F430" s="17"/>
      <c r="G430" s="7"/>
      <c r="H430" s="20" t="n">
        <f aca="false">IF(G430="Card",ROUND((E430+F430)*Settings!$B$8+Settings!$B$9,2),0)</f>
        <v>0</v>
      </c>
      <c r="I430" s="20" t="str">
        <f aca="false">IF(A430="","",E430+F430-H430)</f>
        <v/>
      </c>
      <c r="J430" s="21" t="str">
        <f aca="false">IF(A430="","",MONTH(A430))</f>
        <v/>
      </c>
    </row>
    <row r="431" customFormat="false" ht="15" hidden="false" customHeight="false" outlineLevel="0" collapsed="false">
      <c r="A431" s="19"/>
      <c r="B431" s="7"/>
      <c r="C431" s="7"/>
      <c r="D431" s="7"/>
      <c r="E431" s="17"/>
      <c r="F431" s="17"/>
      <c r="G431" s="7"/>
      <c r="H431" s="20" t="n">
        <f aca="false">IF(G431="Card",ROUND((E431+F431)*Settings!$B$8+Settings!$B$9,2),0)</f>
        <v>0</v>
      </c>
      <c r="I431" s="20" t="str">
        <f aca="false">IF(A431="","",E431+F431-H431)</f>
        <v/>
      </c>
      <c r="J431" s="21" t="str">
        <f aca="false">IF(A431="","",MONTH(A431))</f>
        <v/>
      </c>
    </row>
    <row r="432" customFormat="false" ht="15" hidden="false" customHeight="false" outlineLevel="0" collapsed="false">
      <c r="A432" s="19"/>
      <c r="B432" s="7"/>
      <c r="C432" s="7"/>
      <c r="D432" s="7"/>
      <c r="E432" s="17"/>
      <c r="F432" s="17"/>
      <c r="G432" s="7"/>
      <c r="H432" s="20" t="n">
        <f aca="false">IF(G432="Card",ROUND((E432+F432)*Settings!$B$8+Settings!$B$9,2),0)</f>
        <v>0</v>
      </c>
      <c r="I432" s="20" t="str">
        <f aca="false">IF(A432="","",E432+F432-H432)</f>
        <v/>
      </c>
      <c r="J432" s="21" t="str">
        <f aca="false">IF(A432="","",MONTH(A432))</f>
        <v/>
      </c>
    </row>
    <row r="433" customFormat="false" ht="15" hidden="false" customHeight="false" outlineLevel="0" collapsed="false">
      <c r="A433" s="19"/>
      <c r="B433" s="7"/>
      <c r="C433" s="7"/>
      <c r="D433" s="7"/>
      <c r="E433" s="17"/>
      <c r="F433" s="17"/>
      <c r="G433" s="7"/>
      <c r="H433" s="20" t="n">
        <f aca="false">IF(G433="Card",ROUND((E433+F433)*Settings!$B$8+Settings!$B$9,2),0)</f>
        <v>0</v>
      </c>
      <c r="I433" s="20" t="str">
        <f aca="false">IF(A433="","",E433+F433-H433)</f>
        <v/>
      </c>
      <c r="J433" s="21" t="str">
        <f aca="false">IF(A433="","",MONTH(A433))</f>
        <v/>
      </c>
    </row>
    <row r="434" customFormat="false" ht="15" hidden="false" customHeight="false" outlineLevel="0" collapsed="false">
      <c r="A434" s="19"/>
      <c r="B434" s="7"/>
      <c r="C434" s="7"/>
      <c r="D434" s="7"/>
      <c r="E434" s="17"/>
      <c r="F434" s="17"/>
      <c r="G434" s="7"/>
      <c r="H434" s="20" t="n">
        <f aca="false">IF(G434="Card",ROUND((E434+F434)*Settings!$B$8+Settings!$B$9,2),0)</f>
        <v>0</v>
      </c>
      <c r="I434" s="20" t="str">
        <f aca="false">IF(A434="","",E434+F434-H434)</f>
        <v/>
      </c>
      <c r="J434" s="21" t="str">
        <f aca="false">IF(A434="","",MONTH(A434))</f>
        <v/>
      </c>
    </row>
    <row r="435" customFormat="false" ht="15" hidden="false" customHeight="false" outlineLevel="0" collapsed="false">
      <c r="A435" s="19"/>
      <c r="B435" s="7"/>
      <c r="C435" s="7"/>
      <c r="D435" s="7"/>
      <c r="E435" s="17"/>
      <c r="F435" s="17"/>
      <c r="G435" s="7"/>
      <c r="H435" s="20" t="n">
        <f aca="false">IF(G435="Card",ROUND((E435+F435)*Settings!$B$8+Settings!$B$9,2),0)</f>
        <v>0</v>
      </c>
      <c r="I435" s="20" t="str">
        <f aca="false">IF(A435="","",E435+F435-H435)</f>
        <v/>
      </c>
      <c r="J435" s="21" t="str">
        <f aca="false">IF(A435="","",MONTH(A435))</f>
        <v/>
      </c>
    </row>
    <row r="436" customFormat="false" ht="15" hidden="false" customHeight="false" outlineLevel="0" collapsed="false">
      <c r="A436" s="19"/>
      <c r="B436" s="7"/>
      <c r="C436" s="7"/>
      <c r="D436" s="7"/>
      <c r="E436" s="17"/>
      <c r="F436" s="17"/>
      <c r="G436" s="7"/>
      <c r="H436" s="20" t="n">
        <f aca="false">IF(G436="Card",ROUND((E436+F436)*Settings!$B$8+Settings!$B$9,2),0)</f>
        <v>0</v>
      </c>
      <c r="I436" s="20" t="str">
        <f aca="false">IF(A436="","",E436+F436-H436)</f>
        <v/>
      </c>
      <c r="J436" s="21" t="str">
        <f aca="false">IF(A436="","",MONTH(A436))</f>
        <v/>
      </c>
    </row>
    <row r="437" customFormat="false" ht="15" hidden="false" customHeight="false" outlineLevel="0" collapsed="false">
      <c r="A437" s="19"/>
      <c r="B437" s="7"/>
      <c r="C437" s="7"/>
      <c r="D437" s="7"/>
      <c r="E437" s="17"/>
      <c r="F437" s="17"/>
      <c r="G437" s="7"/>
      <c r="H437" s="20" t="n">
        <f aca="false">IF(G437="Card",ROUND((E437+F437)*Settings!$B$8+Settings!$B$9,2),0)</f>
        <v>0</v>
      </c>
      <c r="I437" s="20" t="str">
        <f aca="false">IF(A437="","",E437+F437-H437)</f>
        <v/>
      </c>
      <c r="J437" s="21" t="str">
        <f aca="false">IF(A437="","",MONTH(A437))</f>
        <v/>
      </c>
    </row>
    <row r="438" customFormat="false" ht="15" hidden="false" customHeight="false" outlineLevel="0" collapsed="false">
      <c r="A438" s="19"/>
      <c r="B438" s="7"/>
      <c r="C438" s="7"/>
      <c r="D438" s="7"/>
      <c r="E438" s="17"/>
      <c r="F438" s="17"/>
      <c r="G438" s="7"/>
      <c r="H438" s="20" t="n">
        <f aca="false">IF(G438="Card",ROUND((E438+F438)*Settings!$B$8+Settings!$B$9,2),0)</f>
        <v>0</v>
      </c>
      <c r="I438" s="20" t="str">
        <f aca="false">IF(A438="","",E438+F438-H438)</f>
        <v/>
      </c>
      <c r="J438" s="21" t="str">
        <f aca="false">IF(A438="","",MONTH(A438))</f>
        <v/>
      </c>
    </row>
    <row r="439" customFormat="false" ht="15" hidden="false" customHeight="false" outlineLevel="0" collapsed="false">
      <c r="A439" s="19"/>
      <c r="B439" s="7"/>
      <c r="C439" s="7"/>
      <c r="D439" s="7"/>
      <c r="E439" s="17"/>
      <c r="F439" s="17"/>
      <c r="G439" s="7"/>
      <c r="H439" s="20" t="n">
        <f aca="false">IF(G439="Card",ROUND((E439+F439)*Settings!$B$8+Settings!$B$9,2),0)</f>
        <v>0</v>
      </c>
      <c r="I439" s="20" t="str">
        <f aca="false">IF(A439="","",E439+F439-H439)</f>
        <v/>
      </c>
      <c r="J439" s="21" t="str">
        <f aca="false">IF(A439="","",MONTH(A439))</f>
        <v/>
      </c>
    </row>
    <row r="440" customFormat="false" ht="15" hidden="false" customHeight="false" outlineLevel="0" collapsed="false">
      <c r="A440" s="19"/>
      <c r="B440" s="7"/>
      <c r="C440" s="7"/>
      <c r="D440" s="7"/>
      <c r="E440" s="17"/>
      <c r="F440" s="17"/>
      <c r="G440" s="7"/>
      <c r="H440" s="20" t="n">
        <f aca="false">IF(G440="Card",ROUND((E440+F440)*Settings!$B$8+Settings!$B$9,2),0)</f>
        <v>0</v>
      </c>
      <c r="I440" s="20" t="str">
        <f aca="false">IF(A440="","",E440+F440-H440)</f>
        <v/>
      </c>
      <c r="J440" s="21" t="str">
        <f aca="false">IF(A440="","",MONTH(A440))</f>
        <v/>
      </c>
    </row>
    <row r="441" customFormat="false" ht="15" hidden="false" customHeight="false" outlineLevel="0" collapsed="false">
      <c r="A441" s="19"/>
      <c r="B441" s="7"/>
      <c r="C441" s="7"/>
      <c r="D441" s="7"/>
      <c r="E441" s="17"/>
      <c r="F441" s="17"/>
      <c r="G441" s="7"/>
      <c r="H441" s="20" t="n">
        <f aca="false">IF(G441="Card",ROUND((E441+F441)*Settings!$B$8+Settings!$B$9,2),0)</f>
        <v>0</v>
      </c>
      <c r="I441" s="20" t="str">
        <f aca="false">IF(A441="","",E441+F441-H441)</f>
        <v/>
      </c>
      <c r="J441" s="21" t="str">
        <f aca="false">IF(A441="","",MONTH(A441))</f>
        <v/>
      </c>
    </row>
    <row r="442" customFormat="false" ht="15" hidden="false" customHeight="false" outlineLevel="0" collapsed="false">
      <c r="A442" s="19"/>
      <c r="B442" s="7"/>
      <c r="C442" s="7"/>
      <c r="D442" s="7"/>
      <c r="E442" s="17"/>
      <c r="F442" s="17"/>
      <c r="G442" s="7"/>
      <c r="H442" s="20" t="n">
        <f aca="false">IF(G442="Card",ROUND((E442+F442)*Settings!$B$8+Settings!$B$9,2),0)</f>
        <v>0</v>
      </c>
      <c r="I442" s="20" t="str">
        <f aca="false">IF(A442="","",E442+F442-H442)</f>
        <v/>
      </c>
      <c r="J442" s="21" t="str">
        <f aca="false">IF(A442="","",MONTH(A442))</f>
        <v/>
      </c>
    </row>
    <row r="443" customFormat="false" ht="15" hidden="false" customHeight="false" outlineLevel="0" collapsed="false">
      <c r="A443" s="19"/>
      <c r="B443" s="7"/>
      <c r="C443" s="7"/>
      <c r="D443" s="7"/>
      <c r="E443" s="17"/>
      <c r="F443" s="17"/>
      <c r="G443" s="7"/>
      <c r="H443" s="20" t="n">
        <f aca="false">IF(G443="Card",ROUND((E443+F443)*Settings!$B$8+Settings!$B$9,2),0)</f>
        <v>0</v>
      </c>
      <c r="I443" s="20" t="str">
        <f aca="false">IF(A443="","",E443+F443-H443)</f>
        <v/>
      </c>
      <c r="J443" s="21" t="str">
        <f aca="false">IF(A443="","",MONTH(A443))</f>
        <v/>
      </c>
    </row>
    <row r="444" customFormat="false" ht="15" hidden="false" customHeight="false" outlineLevel="0" collapsed="false">
      <c r="A444" s="19"/>
      <c r="B444" s="7"/>
      <c r="C444" s="7"/>
      <c r="D444" s="7"/>
      <c r="E444" s="17"/>
      <c r="F444" s="17"/>
      <c r="G444" s="7"/>
      <c r="H444" s="20" t="n">
        <f aca="false">IF(G444="Card",ROUND((E444+F444)*Settings!$B$8+Settings!$B$9,2),0)</f>
        <v>0</v>
      </c>
      <c r="I444" s="20" t="str">
        <f aca="false">IF(A444="","",E444+F444-H444)</f>
        <v/>
      </c>
      <c r="J444" s="21" t="str">
        <f aca="false">IF(A444="","",MONTH(A444))</f>
        <v/>
      </c>
    </row>
    <row r="445" customFormat="false" ht="15" hidden="false" customHeight="false" outlineLevel="0" collapsed="false">
      <c r="A445" s="19"/>
      <c r="B445" s="7"/>
      <c r="C445" s="7"/>
      <c r="D445" s="7"/>
      <c r="E445" s="17"/>
      <c r="F445" s="17"/>
      <c r="G445" s="7"/>
      <c r="H445" s="20" t="n">
        <f aca="false">IF(G445="Card",ROUND((E445+F445)*Settings!$B$8+Settings!$B$9,2),0)</f>
        <v>0</v>
      </c>
      <c r="I445" s="20" t="str">
        <f aca="false">IF(A445="","",E445+F445-H445)</f>
        <v/>
      </c>
      <c r="J445" s="21" t="str">
        <f aca="false">IF(A445="","",MONTH(A445))</f>
        <v/>
      </c>
    </row>
    <row r="446" customFormat="false" ht="15" hidden="false" customHeight="false" outlineLevel="0" collapsed="false">
      <c r="A446" s="19"/>
      <c r="B446" s="7"/>
      <c r="C446" s="7"/>
      <c r="D446" s="7"/>
      <c r="E446" s="17"/>
      <c r="F446" s="17"/>
      <c r="G446" s="7"/>
      <c r="H446" s="20" t="n">
        <f aca="false">IF(G446="Card",ROUND((E446+F446)*Settings!$B$8+Settings!$B$9,2),0)</f>
        <v>0</v>
      </c>
      <c r="I446" s="20" t="str">
        <f aca="false">IF(A446="","",E446+F446-H446)</f>
        <v/>
      </c>
      <c r="J446" s="21" t="str">
        <f aca="false">IF(A446="","",MONTH(A446))</f>
        <v/>
      </c>
    </row>
    <row r="447" customFormat="false" ht="15" hidden="false" customHeight="false" outlineLevel="0" collapsed="false">
      <c r="A447" s="19"/>
      <c r="B447" s="7"/>
      <c r="C447" s="7"/>
      <c r="D447" s="7"/>
      <c r="E447" s="17"/>
      <c r="F447" s="17"/>
      <c r="G447" s="7"/>
      <c r="H447" s="20" t="n">
        <f aca="false">IF(G447="Card",ROUND((E447+F447)*Settings!$B$8+Settings!$B$9,2),0)</f>
        <v>0</v>
      </c>
      <c r="I447" s="20" t="str">
        <f aca="false">IF(A447="","",E447+F447-H447)</f>
        <v/>
      </c>
      <c r="J447" s="21" t="str">
        <f aca="false">IF(A447="","",MONTH(A447))</f>
        <v/>
      </c>
    </row>
    <row r="448" customFormat="false" ht="15" hidden="false" customHeight="false" outlineLevel="0" collapsed="false">
      <c r="A448" s="19"/>
      <c r="B448" s="7"/>
      <c r="C448" s="7"/>
      <c r="D448" s="7"/>
      <c r="E448" s="17"/>
      <c r="F448" s="17"/>
      <c r="G448" s="7"/>
      <c r="H448" s="20" t="n">
        <f aca="false">IF(G448="Card",ROUND((E448+F448)*Settings!$B$8+Settings!$B$9,2),0)</f>
        <v>0</v>
      </c>
      <c r="I448" s="20" t="str">
        <f aca="false">IF(A448="","",E448+F448-H448)</f>
        <v/>
      </c>
      <c r="J448" s="21" t="str">
        <f aca="false">IF(A448="","",MONTH(A448))</f>
        <v/>
      </c>
    </row>
    <row r="449" customFormat="false" ht="15" hidden="false" customHeight="false" outlineLevel="0" collapsed="false">
      <c r="A449" s="19"/>
      <c r="B449" s="7"/>
      <c r="C449" s="7"/>
      <c r="D449" s="7"/>
      <c r="E449" s="17"/>
      <c r="F449" s="17"/>
      <c r="G449" s="7"/>
      <c r="H449" s="20" t="n">
        <f aca="false">IF(G449="Card",ROUND((E449+F449)*Settings!$B$8+Settings!$B$9,2),0)</f>
        <v>0</v>
      </c>
      <c r="I449" s="20" t="str">
        <f aca="false">IF(A449="","",E449+F449-H449)</f>
        <v/>
      </c>
      <c r="J449" s="21" t="str">
        <f aca="false">IF(A449="","",MONTH(A449))</f>
        <v/>
      </c>
    </row>
    <row r="450" customFormat="false" ht="15" hidden="false" customHeight="false" outlineLevel="0" collapsed="false">
      <c r="A450" s="19"/>
      <c r="B450" s="7"/>
      <c r="C450" s="7"/>
      <c r="D450" s="7"/>
      <c r="E450" s="17"/>
      <c r="F450" s="17"/>
      <c r="G450" s="7"/>
      <c r="H450" s="20" t="n">
        <f aca="false">IF(G450="Card",ROUND((E450+F450)*Settings!$B$8+Settings!$B$9,2),0)</f>
        <v>0</v>
      </c>
      <c r="I450" s="20" t="str">
        <f aca="false">IF(A450="","",E450+F450-H450)</f>
        <v/>
      </c>
      <c r="J450" s="21" t="str">
        <f aca="false">IF(A450="","",MONTH(A450))</f>
        <v/>
      </c>
    </row>
    <row r="451" customFormat="false" ht="15" hidden="false" customHeight="false" outlineLevel="0" collapsed="false">
      <c r="A451" s="19"/>
      <c r="B451" s="7"/>
      <c r="C451" s="7"/>
      <c r="D451" s="7"/>
      <c r="E451" s="17"/>
      <c r="F451" s="17"/>
      <c r="G451" s="7"/>
      <c r="H451" s="20" t="n">
        <f aca="false">IF(G451="Card",ROUND((E451+F451)*Settings!$B$8+Settings!$B$9,2),0)</f>
        <v>0</v>
      </c>
      <c r="I451" s="20" t="str">
        <f aca="false">IF(A451="","",E451+F451-H451)</f>
        <v/>
      </c>
      <c r="J451" s="21" t="str">
        <f aca="false">IF(A451="","",MONTH(A451))</f>
        <v/>
      </c>
    </row>
    <row r="452" customFormat="false" ht="15" hidden="false" customHeight="false" outlineLevel="0" collapsed="false">
      <c r="A452" s="19"/>
      <c r="B452" s="7"/>
      <c r="C452" s="7"/>
      <c r="D452" s="7"/>
      <c r="E452" s="17"/>
      <c r="F452" s="17"/>
      <c r="G452" s="7"/>
      <c r="H452" s="20" t="n">
        <f aca="false">IF(G452="Card",ROUND((E452+F452)*Settings!$B$8+Settings!$B$9,2),0)</f>
        <v>0</v>
      </c>
      <c r="I452" s="20" t="str">
        <f aca="false">IF(A452="","",E452+F452-H452)</f>
        <v/>
      </c>
      <c r="J452" s="21" t="str">
        <f aca="false">IF(A452="","",MONTH(A452))</f>
        <v/>
      </c>
    </row>
    <row r="453" customFormat="false" ht="15" hidden="false" customHeight="false" outlineLevel="0" collapsed="false">
      <c r="A453" s="19"/>
      <c r="B453" s="7"/>
      <c r="C453" s="7"/>
      <c r="D453" s="7"/>
      <c r="E453" s="17"/>
      <c r="F453" s="17"/>
      <c r="G453" s="7"/>
      <c r="H453" s="20" t="n">
        <f aca="false">IF(G453="Card",ROUND((E453+F453)*Settings!$B$8+Settings!$B$9,2),0)</f>
        <v>0</v>
      </c>
      <c r="I453" s="20" t="str">
        <f aca="false">IF(A453="","",E453+F453-H453)</f>
        <v/>
      </c>
      <c r="J453" s="21" t="str">
        <f aca="false">IF(A453="","",MONTH(A453))</f>
        <v/>
      </c>
    </row>
    <row r="454" customFormat="false" ht="15" hidden="false" customHeight="false" outlineLevel="0" collapsed="false">
      <c r="A454" s="19"/>
      <c r="B454" s="7"/>
      <c r="C454" s="7"/>
      <c r="D454" s="7"/>
      <c r="E454" s="17"/>
      <c r="F454" s="17"/>
      <c r="G454" s="7"/>
      <c r="H454" s="20" t="n">
        <f aca="false">IF(G454="Card",ROUND((E454+F454)*Settings!$B$8+Settings!$B$9,2),0)</f>
        <v>0</v>
      </c>
      <c r="I454" s="20" t="str">
        <f aca="false">IF(A454="","",E454+F454-H454)</f>
        <v/>
      </c>
      <c r="J454" s="21" t="str">
        <f aca="false">IF(A454="","",MONTH(A454))</f>
        <v/>
      </c>
    </row>
    <row r="455" customFormat="false" ht="15" hidden="false" customHeight="false" outlineLevel="0" collapsed="false">
      <c r="A455" s="19"/>
      <c r="B455" s="7"/>
      <c r="C455" s="7"/>
      <c r="D455" s="7"/>
      <c r="E455" s="17"/>
      <c r="F455" s="17"/>
      <c r="G455" s="7"/>
      <c r="H455" s="20" t="n">
        <f aca="false">IF(G455="Card",ROUND((E455+F455)*Settings!$B$8+Settings!$B$9,2),0)</f>
        <v>0</v>
      </c>
      <c r="I455" s="20" t="str">
        <f aca="false">IF(A455="","",E455+F455-H455)</f>
        <v/>
      </c>
      <c r="J455" s="21" t="str">
        <f aca="false">IF(A455="","",MONTH(A455))</f>
        <v/>
      </c>
    </row>
    <row r="456" customFormat="false" ht="15" hidden="false" customHeight="false" outlineLevel="0" collapsed="false">
      <c r="A456" s="19"/>
      <c r="B456" s="7"/>
      <c r="C456" s="7"/>
      <c r="D456" s="7"/>
      <c r="E456" s="17"/>
      <c r="F456" s="17"/>
      <c r="G456" s="7"/>
      <c r="H456" s="20" t="n">
        <f aca="false">IF(G456="Card",ROUND((E456+F456)*Settings!$B$8+Settings!$B$9,2),0)</f>
        <v>0</v>
      </c>
      <c r="I456" s="20" t="str">
        <f aca="false">IF(A456="","",E456+F456-H456)</f>
        <v/>
      </c>
      <c r="J456" s="21" t="str">
        <f aca="false">IF(A456="","",MONTH(A456))</f>
        <v/>
      </c>
    </row>
    <row r="457" customFormat="false" ht="15" hidden="false" customHeight="false" outlineLevel="0" collapsed="false">
      <c r="A457" s="19"/>
      <c r="B457" s="7"/>
      <c r="C457" s="7"/>
      <c r="D457" s="7"/>
      <c r="E457" s="17"/>
      <c r="F457" s="17"/>
      <c r="G457" s="7"/>
      <c r="H457" s="20" t="n">
        <f aca="false">IF(G457="Card",ROUND((E457+F457)*Settings!$B$8+Settings!$B$9,2),0)</f>
        <v>0</v>
      </c>
      <c r="I457" s="20" t="str">
        <f aca="false">IF(A457="","",E457+F457-H457)</f>
        <v/>
      </c>
      <c r="J457" s="21" t="str">
        <f aca="false">IF(A457="","",MONTH(A457))</f>
        <v/>
      </c>
    </row>
    <row r="458" customFormat="false" ht="15" hidden="false" customHeight="false" outlineLevel="0" collapsed="false">
      <c r="A458" s="19"/>
      <c r="B458" s="7"/>
      <c r="C458" s="7"/>
      <c r="D458" s="7"/>
      <c r="E458" s="17"/>
      <c r="F458" s="17"/>
      <c r="G458" s="7"/>
      <c r="H458" s="20" t="n">
        <f aca="false">IF(G458="Card",ROUND((E458+F458)*Settings!$B$8+Settings!$B$9,2),0)</f>
        <v>0</v>
      </c>
      <c r="I458" s="20" t="str">
        <f aca="false">IF(A458="","",E458+F458-H458)</f>
        <v/>
      </c>
      <c r="J458" s="21" t="str">
        <f aca="false">IF(A458="","",MONTH(A458))</f>
        <v/>
      </c>
    </row>
    <row r="459" customFormat="false" ht="15" hidden="false" customHeight="false" outlineLevel="0" collapsed="false">
      <c r="A459" s="19"/>
      <c r="B459" s="7"/>
      <c r="C459" s="7"/>
      <c r="D459" s="7"/>
      <c r="E459" s="17"/>
      <c r="F459" s="17"/>
      <c r="G459" s="7"/>
      <c r="H459" s="20" t="n">
        <f aca="false">IF(G459="Card",ROUND((E459+F459)*Settings!$B$8+Settings!$B$9,2),0)</f>
        <v>0</v>
      </c>
      <c r="I459" s="20" t="str">
        <f aca="false">IF(A459="","",E459+F459-H459)</f>
        <v/>
      </c>
      <c r="J459" s="21" t="str">
        <f aca="false">IF(A459="","",MONTH(A459))</f>
        <v/>
      </c>
    </row>
    <row r="460" customFormat="false" ht="15" hidden="false" customHeight="false" outlineLevel="0" collapsed="false">
      <c r="A460" s="19"/>
      <c r="B460" s="7"/>
      <c r="C460" s="7"/>
      <c r="D460" s="7"/>
      <c r="E460" s="17"/>
      <c r="F460" s="17"/>
      <c r="G460" s="7"/>
      <c r="H460" s="20" t="n">
        <f aca="false">IF(G460="Card",ROUND((E460+F460)*Settings!$B$8+Settings!$B$9,2),0)</f>
        <v>0</v>
      </c>
      <c r="I460" s="20" t="str">
        <f aca="false">IF(A460="","",E460+F460-H460)</f>
        <v/>
      </c>
      <c r="J460" s="21" t="str">
        <f aca="false">IF(A460="","",MONTH(A460))</f>
        <v/>
      </c>
    </row>
    <row r="461" customFormat="false" ht="15" hidden="false" customHeight="false" outlineLevel="0" collapsed="false">
      <c r="A461" s="19"/>
      <c r="B461" s="7"/>
      <c r="C461" s="7"/>
      <c r="D461" s="7"/>
      <c r="E461" s="17"/>
      <c r="F461" s="17"/>
      <c r="G461" s="7"/>
      <c r="H461" s="20" t="n">
        <f aca="false">IF(G461="Card",ROUND((E461+F461)*Settings!$B$8+Settings!$B$9,2),0)</f>
        <v>0</v>
      </c>
      <c r="I461" s="20" t="str">
        <f aca="false">IF(A461="","",E461+F461-H461)</f>
        <v/>
      </c>
      <c r="J461" s="21" t="str">
        <f aca="false">IF(A461="","",MONTH(A461))</f>
        <v/>
      </c>
    </row>
    <row r="462" customFormat="false" ht="15" hidden="false" customHeight="false" outlineLevel="0" collapsed="false">
      <c r="A462" s="19"/>
      <c r="B462" s="7"/>
      <c r="C462" s="7"/>
      <c r="D462" s="7"/>
      <c r="E462" s="17"/>
      <c r="F462" s="17"/>
      <c r="G462" s="7"/>
      <c r="H462" s="20" t="n">
        <f aca="false">IF(G462="Card",ROUND((E462+F462)*Settings!$B$8+Settings!$B$9,2),0)</f>
        <v>0</v>
      </c>
      <c r="I462" s="20" t="str">
        <f aca="false">IF(A462="","",E462+F462-H462)</f>
        <v/>
      </c>
      <c r="J462" s="21" t="str">
        <f aca="false">IF(A462="","",MONTH(A462))</f>
        <v/>
      </c>
    </row>
    <row r="463" customFormat="false" ht="15" hidden="false" customHeight="false" outlineLevel="0" collapsed="false">
      <c r="A463" s="19"/>
      <c r="B463" s="7"/>
      <c r="C463" s="7"/>
      <c r="D463" s="7"/>
      <c r="E463" s="17"/>
      <c r="F463" s="17"/>
      <c r="G463" s="7"/>
      <c r="H463" s="20" t="n">
        <f aca="false">IF(G463="Card",ROUND((E463+F463)*Settings!$B$8+Settings!$B$9,2),0)</f>
        <v>0</v>
      </c>
      <c r="I463" s="20" t="str">
        <f aca="false">IF(A463="","",E463+F463-H463)</f>
        <v/>
      </c>
      <c r="J463" s="21" t="str">
        <f aca="false">IF(A463="","",MONTH(A463))</f>
        <v/>
      </c>
    </row>
    <row r="464" customFormat="false" ht="15" hidden="false" customHeight="false" outlineLevel="0" collapsed="false">
      <c r="A464" s="19"/>
      <c r="B464" s="7"/>
      <c r="C464" s="7"/>
      <c r="D464" s="7"/>
      <c r="E464" s="17"/>
      <c r="F464" s="17"/>
      <c r="G464" s="7"/>
      <c r="H464" s="20" t="n">
        <f aca="false">IF(G464="Card",ROUND((E464+F464)*Settings!$B$8+Settings!$B$9,2),0)</f>
        <v>0</v>
      </c>
      <c r="I464" s="20" t="str">
        <f aca="false">IF(A464="","",E464+F464-H464)</f>
        <v/>
      </c>
      <c r="J464" s="21" t="str">
        <f aca="false">IF(A464="","",MONTH(A464))</f>
        <v/>
      </c>
    </row>
    <row r="465" customFormat="false" ht="15" hidden="false" customHeight="false" outlineLevel="0" collapsed="false">
      <c r="A465" s="19"/>
      <c r="B465" s="7"/>
      <c r="C465" s="7"/>
      <c r="D465" s="7"/>
      <c r="E465" s="17"/>
      <c r="F465" s="17"/>
      <c r="G465" s="7"/>
      <c r="H465" s="20" t="n">
        <f aca="false">IF(G465="Card",ROUND((E465+F465)*Settings!$B$8+Settings!$B$9,2),0)</f>
        <v>0</v>
      </c>
      <c r="I465" s="20" t="str">
        <f aca="false">IF(A465="","",E465+F465-H465)</f>
        <v/>
      </c>
      <c r="J465" s="21" t="str">
        <f aca="false">IF(A465="","",MONTH(A465))</f>
        <v/>
      </c>
    </row>
    <row r="466" customFormat="false" ht="15" hidden="false" customHeight="false" outlineLevel="0" collapsed="false">
      <c r="A466" s="19"/>
      <c r="B466" s="7"/>
      <c r="C466" s="7"/>
      <c r="D466" s="7"/>
      <c r="E466" s="17"/>
      <c r="F466" s="17"/>
      <c r="G466" s="7"/>
      <c r="H466" s="20" t="n">
        <f aca="false">IF(G466="Card",ROUND((E466+F466)*Settings!$B$8+Settings!$B$9,2),0)</f>
        <v>0</v>
      </c>
      <c r="I466" s="20" t="str">
        <f aca="false">IF(A466="","",E466+F466-H466)</f>
        <v/>
      </c>
      <c r="J466" s="21" t="str">
        <f aca="false">IF(A466="","",MONTH(A466))</f>
        <v/>
      </c>
    </row>
    <row r="467" customFormat="false" ht="15" hidden="false" customHeight="false" outlineLevel="0" collapsed="false">
      <c r="A467" s="19"/>
      <c r="B467" s="7"/>
      <c r="C467" s="7"/>
      <c r="D467" s="7"/>
      <c r="E467" s="17"/>
      <c r="F467" s="17"/>
      <c r="G467" s="7"/>
      <c r="H467" s="20" t="n">
        <f aca="false">IF(G467="Card",ROUND((E467+F467)*Settings!$B$8+Settings!$B$9,2),0)</f>
        <v>0</v>
      </c>
      <c r="I467" s="20" t="str">
        <f aca="false">IF(A467="","",E467+F467-H467)</f>
        <v/>
      </c>
      <c r="J467" s="21" t="str">
        <f aca="false">IF(A467="","",MONTH(A467))</f>
        <v/>
      </c>
    </row>
    <row r="468" customFormat="false" ht="15" hidden="false" customHeight="false" outlineLevel="0" collapsed="false">
      <c r="A468" s="19"/>
      <c r="B468" s="7"/>
      <c r="C468" s="7"/>
      <c r="D468" s="7"/>
      <c r="E468" s="17"/>
      <c r="F468" s="17"/>
      <c r="G468" s="7"/>
      <c r="H468" s="20" t="n">
        <f aca="false">IF(G468="Card",ROUND((E468+F468)*Settings!$B$8+Settings!$B$9,2),0)</f>
        <v>0</v>
      </c>
      <c r="I468" s="20" t="str">
        <f aca="false">IF(A468="","",E468+F468-H468)</f>
        <v/>
      </c>
      <c r="J468" s="21" t="str">
        <f aca="false">IF(A468="","",MONTH(A468))</f>
        <v/>
      </c>
    </row>
    <row r="469" customFormat="false" ht="15" hidden="false" customHeight="false" outlineLevel="0" collapsed="false">
      <c r="A469" s="19"/>
      <c r="B469" s="7"/>
      <c r="C469" s="7"/>
      <c r="D469" s="7"/>
      <c r="E469" s="17"/>
      <c r="F469" s="17"/>
      <c r="G469" s="7"/>
      <c r="H469" s="20" t="n">
        <f aca="false">IF(G469="Card",ROUND((E469+F469)*Settings!$B$8+Settings!$B$9,2),0)</f>
        <v>0</v>
      </c>
      <c r="I469" s="20" t="str">
        <f aca="false">IF(A469="","",E469+F469-H469)</f>
        <v/>
      </c>
      <c r="J469" s="21" t="str">
        <f aca="false">IF(A469="","",MONTH(A469))</f>
        <v/>
      </c>
    </row>
    <row r="470" customFormat="false" ht="15" hidden="false" customHeight="false" outlineLevel="0" collapsed="false">
      <c r="A470" s="19"/>
      <c r="B470" s="7"/>
      <c r="C470" s="7"/>
      <c r="D470" s="7"/>
      <c r="E470" s="17"/>
      <c r="F470" s="17"/>
      <c r="G470" s="7"/>
      <c r="H470" s="20" t="n">
        <f aca="false">IF(G470="Card",ROUND((E470+F470)*Settings!$B$8+Settings!$B$9,2),0)</f>
        <v>0</v>
      </c>
      <c r="I470" s="20" t="str">
        <f aca="false">IF(A470="","",E470+F470-H470)</f>
        <v/>
      </c>
      <c r="J470" s="21" t="str">
        <f aca="false">IF(A470="","",MONTH(A470))</f>
        <v/>
      </c>
    </row>
    <row r="471" customFormat="false" ht="15" hidden="false" customHeight="false" outlineLevel="0" collapsed="false">
      <c r="A471" s="19"/>
      <c r="B471" s="7"/>
      <c r="C471" s="7"/>
      <c r="D471" s="7"/>
      <c r="E471" s="17"/>
      <c r="F471" s="17"/>
      <c r="G471" s="7"/>
      <c r="H471" s="20" t="n">
        <f aca="false">IF(G471="Card",ROUND((E471+F471)*Settings!$B$8+Settings!$B$9,2),0)</f>
        <v>0</v>
      </c>
      <c r="I471" s="20" t="str">
        <f aca="false">IF(A471="","",E471+F471-H471)</f>
        <v/>
      </c>
      <c r="J471" s="21" t="str">
        <f aca="false">IF(A471="","",MONTH(A471))</f>
        <v/>
      </c>
    </row>
    <row r="472" customFormat="false" ht="15" hidden="false" customHeight="false" outlineLevel="0" collapsed="false">
      <c r="A472" s="19"/>
      <c r="B472" s="7"/>
      <c r="C472" s="7"/>
      <c r="D472" s="7"/>
      <c r="E472" s="17"/>
      <c r="F472" s="17"/>
      <c r="G472" s="7"/>
      <c r="H472" s="20" t="n">
        <f aca="false">IF(G472="Card",ROUND((E472+F472)*Settings!$B$8+Settings!$B$9,2),0)</f>
        <v>0</v>
      </c>
      <c r="I472" s="20" t="str">
        <f aca="false">IF(A472="","",E472+F472-H472)</f>
        <v/>
      </c>
      <c r="J472" s="21" t="str">
        <f aca="false">IF(A472="","",MONTH(A472))</f>
        <v/>
      </c>
    </row>
    <row r="473" customFormat="false" ht="15" hidden="false" customHeight="false" outlineLevel="0" collapsed="false">
      <c r="A473" s="19"/>
      <c r="B473" s="7"/>
      <c r="C473" s="7"/>
      <c r="D473" s="7"/>
      <c r="E473" s="17"/>
      <c r="F473" s="17"/>
      <c r="G473" s="7"/>
      <c r="H473" s="20" t="n">
        <f aca="false">IF(G473="Card",ROUND((E473+F473)*Settings!$B$8+Settings!$B$9,2),0)</f>
        <v>0</v>
      </c>
      <c r="I473" s="20" t="str">
        <f aca="false">IF(A473="","",E473+F473-H473)</f>
        <v/>
      </c>
      <c r="J473" s="21" t="str">
        <f aca="false">IF(A473="","",MONTH(A473))</f>
        <v/>
      </c>
    </row>
    <row r="474" customFormat="false" ht="15" hidden="false" customHeight="false" outlineLevel="0" collapsed="false">
      <c r="A474" s="19"/>
      <c r="B474" s="7"/>
      <c r="C474" s="7"/>
      <c r="D474" s="7"/>
      <c r="E474" s="17"/>
      <c r="F474" s="17"/>
      <c r="G474" s="7"/>
      <c r="H474" s="20" t="n">
        <f aca="false">IF(G474="Card",ROUND((E474+F474)*Settings!$B$8+Settings!$B$9,2),0)</f>
        <v>0</v>
      </c>
      <c r="I474" s="20" t="str">
        <f aca="false">IF(A474="","",E474+F474-H474)</f>
        <v/>
      </c>
      <c r="J474" s="21" t="str">
        <f aca="false">IF(A474="","",MONTH(A474))</f>
        <v/>
      </c>
    </row>
    <row r="475" customFormat="false" ht="15" hidden="false" customHeight="false" outlineLevel="0" collapsed="false">
      <c r="A475" s="19"/>
      <c r="B475" s="7"/>
      <c r="C475" s="7"/>
      <c r="D475" s="7"/>
      <c r="E475" s="17"/>
      <c r="F475" s="17"/>
      <c r="G475" s="7"/>
      <c r="H475" s="20" t="n">
        <f aca="false">IF(G475="Card",ROUND((E475+F475)*Settings!$B$8+Settings!$B$9,2),0)</f>
        <v>0</v>
      </c>
      <c r="I475" s="20" t="str">
        <f aca="false">IF(A475="","",E475+F475-H475)</f>
        <v/>
      </c>
      <c r="J475" s="21" t="str">
        <f aca="false">IF(A475="","",MONTH(A475))</f>
        <v/>
      </c>
    </row>
    <row r="476" customFormat="false" ht="15" hidden="false" customHeight="false" outlineLevel="0" collapsed="false">
      <c r="A476" s="19"/>
      <c r="B476" s="7"/>
      <c r="C476" s="7"/>
      <c r="D476" s="7"/>
      <c r="E476" s="17"/>
      <c r="F476" s="17"/>
      <c r="G476" s="7"/>
      <c r="H476" s="20" t="n">
        <f aca="false">IF(G476="Card",ROUND((E476+F476)*Settings!$B$8+Settings!$B$9,2),0)</f>
        <v>0</v>
      </c>
      <c r="I476" s="20" t="str">
        <f aca="false">IF(A476="","",E476+F476-H476)</f>
        <v/>
      </c>
      <c r="J476" s="21" t="str">
        <f aca="false">IF(A476="","",MONTH(A476))</f>
        <v/>
      </c>
    </row>
    <row r="477" customFormat="false" ht="15" hidden="false" customHeight="false" outlineLevel="0" collapsed="false">
      <c r="A477" s="19"/>
      <c r="B477" s="7"/>
      <c r="C477" s="7"/>
      <c r="D477" s="7"/>
      <c r="E477" s="17"/>
      <c r="F477" s="17"/>
      <c r="G477" s="7"/>
      <c r="H477" s="20" t="n">
        <f aca="false">IF(G477="Card",ROUND((E477+F477)*Settings!$B$8+Settings!$B$9,2),0)</f>
        <v>0</v>
      </c>
      <c r="I477" s="20" t="str">
        <f aca="false">IF(A477="","",E477+F477-H477)</f>
        <v/>
      </c>
      <c r="J477" s="21" t="str">
        <f aca="false">IF(A477="","",MONTH(A477))</f>
        <v/>
      </c>
    </row>
    <row r="478" customFormat="false" ht="15" hidden="false" customHeight="false" outlineLevel="0" collapsed="false">
      <c r="A478" s="19"/>
      <c r="B478" s="7"/>
      <c r="C478" s="7"/>
      <c r="D478" s="7"/>
      <c r="E478" s="17"/>
      <c r="F478" s="17"/>
      <c r="G478" s="7"/>
      <c r="H478" s="20" t="n">
        <f aca="false">IF(G478="Card",ROUND((E478+F478)*Settings!$B$8+Settings!$B$9,2),0)</f>
        <v>0</v>
      </c>
      <c r="I478" s="20" t="str">
        <f aca="false">IF(A478="","",E478+F478-H478)</f>
        <v/>
      </c>
      <c r="J478" s="21" t="str">
        <f aca="false">IF(A478="","",MONTH(A478))</f>
        <v/>
      </c>
    </row>
    <row r="479" customFormat="false" ht="15" hidden="false" customHeight="false" outlineLevel="0" collapsed="false">
      <c r="A479" s="19"/>
      <c r="B479" s="7"/>
      <c r="C479" s="7"/>
      <c r="D479" s="7"/>
      <c r="E479" s="17"/>
      <c r="F479" s="17"/>
      <c r="G479" s="7"/>
      <c r="H479" s="20" t="n">
        <f aca="false">IF(G479="Card",ROUND((E479+F479)*Settings!$B$8+Settings!$B$9,2),0)</f>
        <v>0</v>
      </c>
      <c r="I479" s="20" t="str">
        <f aca="false">IF(A479="","",E479+F479-H479)</f>
        <v/>
      </c>
      <c r="J479" s="21" t="str">
        <f aca="false">IF(A479="","",MONTH(A479))</f>
        <v/>
      </c>
    </row>
    <row r="480" customFormat="false" ht="15" hidden="false" customHeight="false" outlineLevel="0" collapsed="false">
      <c r="A480" s="19"/>
      <c r="B480" s="7"/>
      <c r="C480" s="7"/>
      <c r="D480" s="7"/>
      <c r="E480" s="17"/>
      <c r="F480" s="17"/>
      <c r="G480" s="7"/>
      <c r="H480" s="20" t="n">
        <f aca="false">IF(G480="Card",ROUND((E480+F480)*Settings!$B$8+Settings!$B$9,2),0)</f>
        <v>0</v>
      </c>
      <c r="I480" s="20" t="str">
        <f aca="false">IF(A480="","",E480+F480-H480)</f>
        <v/>
      </c>
      <c r="J480" s="21" t="str">
        <f aca="false">IF(A480="","",MONTH(A480))</f>
        <v/>
      </c>
    </row>
    <row r="481" customFormat="false" ht="15" hidden="false" customHeight="false" outlineLevel="0" collapsed="false">
      <c r="A481" s="19"/>
      <c r="B481" s="7"/>
      <c r="C481" s="7"/>
      <c r="D481" s="7"/>
      <c r="E481" s="17"/>
      <c r="F481" s="17"/>
      <c r="G481" s="7"/>
      <c r="H481" s="20" t="n">
        <f aca="false">IF(G481="Card",ROUND((E481+F481)*Settings!$B$8+Settings!$B$9,2),0)</f>
        <v>0</v>
      </c>
      <c r="I481" s="20" t="str">
        <f aca="false">IF(A481="","",E481+F481-H481)</f>
        <v/>
      </c>
      <c r="J481" s="21" t="str">
        <f aca="false">IF(A481="","",MONTH(A481))</f>
        <v/>
      </c>
    </row>
    <row r="482" customFormat="false" ht="15" hidden="false" customHeight="false" outlineLevel="0" collapsed="false">
      <c r="A482" s="19"/>
      <c r="B482" s="7"/>
      <c r="C482" s="7"/>
      <c r="D482" s="7"/>
      <c r="E482" s="17"/>
      <c r="F482" s="17"/>
      <c r="G482" s="7"/>
      <c r="H482" s="20" t="n">
        <f aca="false">IF(G482="Card",ROUND((E482+F482)*Settings!$B$8+Settings!$B$9,2),0)</f>
        <v>0</v>
      </c>
      <c r="I482" s="20" t="str">
        <f aca="false">IF(A482="","",E482+F482-H482)</f>
        <v/>
      </c>
      <c r="J482" s="21" t="str">
        <f aca="false">IF(A482="","",MONTH(A482))</f>
        <v/>
      </c>
    </row>
    <row r="483" customFormat="false" ht="15" hidden="false" customHeight="false" outlineLevel="0" collapsed="false">
      <c r="A483" s="19"/>
      <c r="B483" s="7"/>
      <c r="C483" s="7"/>
      <c r="D483" s="7"/>
      <c r="E483" s="17"/>
      <c r="F483" s="17"/>
      <c r="G483" s="7"/>
      <c r="H483" s="20" t="n">
        <f aca="false">IF(G483="Card",ROUND((E483+F483)*Settings!$B$8+Settings!$B$9,2),0)</f>
        <v>0</v>
      </c>
      <c r="I483" s="20" t="str">
        <f aca="false">IF(A483="","",E483+F483-H483)</f>
        <v/>
      </c>
      <c r="J483" s="21" t="str">
        <f aca="false">IF(A483="","",MONTH(A483))</f>
        <v/>
      </c>
    </row>
    <row r="484" customFormat="false" ht="15" hidden="false" customHeight="false" outlineLevel="0" collapsed="false">
      <c r="A484" s="19"/>
      <c r="B484" s="7"/>
      <c r="C484" s="7"/>
      <c r="D484" s="7"/>
      <c r="E484" s="17"/>
      <c r="F484" s="17"/>
      <c r="G484" s="7"/>
      <c r="H484" s="20" t="n">
        <f aca="false">IF(G484="Card",ROUND((E484+F484)*Settings!$B$8+Settings!$B$9,2),0)</f>
        <v>0</v>
      </c>
      <c r="I484" s="20" t="str">
        <f aca="false">IF(A484="","",E484+F484-H484)</f>
        <v/>
      </c>
      <c r="J484" s="21" t="str">
        <f aca="false">IF(A484="","",MONTH(A484))</f>
        <v/>
      </c>
    </row>
    <row r="485" customFormat="false" ht="15" hidden="false" customHeight="false" outlineLevel="0" collapsed="false">
      <c r="A485" s="19"/>
      <c r="B485" s="7"/>
      <c r="C485" s="7"/>
      <c r="D485" s="7"/>
      <c r="E485" s="17"/>
      <c r="F485" s="17"/>
      <c r="G485" s="7"/>
      <c r="H485" s="20" t="n">
        <f aca="false">IF(G485="Card",ROUND((E485+F485)*Settings!$B$8+Settings!$B$9,2),0)</f>
        <v>0</v>
      </c>
      <c r="I485" s="20" t="str">
        <f aca="false">IF(A485="","",E485+F485-H485)</f>
        <v/>
      </c>
      <c r="J485" s="21" t="str">
        <f aca="false">IF(A485="","",MONTH(A485))</f>
        <v/>
      </c>
    </row>
    <row r="486" customFormat="false" ht="15" hidden="false" customHeight="false" outlineLevel="0" collapsed="false">
      <c r="A486" s="19"/>
      <c r="B486" s="7"/>
      <c r="C486" s="7"/>
      <c r="D486" s="7"/>
      <c r="E486" s="17"/>
      <c r="F486" s="17"/>
      <c r="G486" s="7"/>
      <c r="H486" s="20" t="n">
        <f aca="false">IF(G486="Card",ROUND((E486+F486)*Settings!$B$8+Settings!$B$9,2),0)</f>
        <v>0</v>
      </c>
      <c r="I486" s="20" t="str">
        <f aca="false">IF(A486="","",E486+F486-H486)</f>
        <v/>
      </c>
      <c r="J486" s="21" t="str">
        <f aca="false">IF(A486="","",MONTH(A486))</f>
        <v/>
      </c>
    </row>
    <row r="487" customFormat="false" ht="15" hidden="false" customHeight="false" outlineLevel="0" collapsed="false">
      <c r="A487" s="19"/>
      <c r="B487" s="7"/>
      <c r="C487" s="7"/>
      <c r="D487" s="7"/>
      <c r="E487" s="17"/>
      <c r="F487" s="17"/>
      <c r="G487" s="7"/>
      <c r="H487" s="20" t="n">
        <f aca="false">IF(G487="Card",ROUND((E487+F487)*Settings!$B$8+Settings!$B$9,2),0)</f>
        <v>0</v>
      </c>
      <c r="I487" s="20" t="str">
        <f aca="false">IF(A487="","",E487+F487-H487)</f>
        <v/>
      </c>
      <c r="J487" s="21" t="str">
        <f aca="false">IF(A487="","",MONTH(A487))</f>
        <v/>
      </c>
    </row>
    <row r="488" customFormat="false" ht="15" hidden="false" customHeight="false" outlineLevel="0" collapsed="false">
      <c r="A488" s="19"/>
      <c r="B488" s="7"/>
      <c r="C488" s="7"/>
      <c r="D488" s="7"/>
      <c r="E488" s="17"/>
      <c r="F488" s="17"/>
      <c r="G488" s="7"/>
      <c r="H488" s="20" t="n">
        <f aca="false">IF(G488="Card",ROUND((E488+F488)*Settings!$B$8+Settings!$B$9,2),0)</f>
        <v>0</v>
      </c>
      <c r="I488" s="20" t="str">
        <f aca="false">IF(A488="","",E488+F488-H488)</f>
        <v/>
      </c>
      <c r="J488" s="21" t="str">
        <f aca="false">IF(A488="","",MONTH(A488))</f>
        <v/>
      </c>
    </row>
    <row r="489" customFormat="false" ht="15" hidden="false" customHeight="false" outlineLevel="0" collapsed="false">
      <c r="A489" s="19"/>
      <c r="B489" s="7"/>
      <c r="C489" s="7"/>
      <c r="D489" s="7"/>
      <c r="E489" s="17"/>
      <c r="F489" s="17"/>
      <c r="G489" s="7"/>
      <c r="H489" s="20" t="n">
        <f aca="false">IF(G489="Card",ROUND((E489+F489)*Settings!$B$8+Settings!$B$9,2),0)</f>
        <v>0</v>
      </c>
      <c r="I489" s="20" t="str">
        <f aca="false">IF(A489="","",E489+F489-H489)</f>
        <v/>
      </c>
      <c r="J489" s="21" t="str">
        <f aca="false">IF(A489="","",MONTH(A489))</f>
        <v/>
      </c>
    </row>
    <row r="490" customFormat="false" ht="15" hidden="false" customHeight="false" outlineLevel="0" collapsed="false">
      <c r="A490" s="19"/>
      <c r="B490" s="7"/>
      <c r="C490" s="7"/>
      <c r="D490" s="7"/>
      <c r="E490" s="17"/>
      <c r="F490" s="17"/>
      <c r="G490" s="7"/>
      <c r="H490" s="20" t="n">
        <f aca="false">IF(G490="Card",ROUND((E490+F490)*Settings!$B$8+Settings!$B$9,2),0)</f>
        <v>0</v>
      </c>
      <c r="I490" s="20" t="str">
        <f aca="false">IF(A490="","",E490+F490-H490)</f>
        <v/>
      </c>
      <c r="J490" s="21" t="str">
        <f aca="false">IF(A490="","",MONTH(A490))</f>
        <v/>
      </c>
    </row>
    <row r="491" customFormat="false" ht="15" hidden="false" customHeight="false" outlineLevel="0" collapsed="false">
      <c r="A491" s="19"/>
      <c r="B491" s="7"/>
      <c r="C491" s="7"/>
      <c r="D491" s="7"/>
      <c r="E491" s="17"/>
      <c r="F491" s="17"/>
      <c r="G491" s="7"/>
      <c r="H491" s="20" t="n">
        <f aca="false">IF(G491="Card",ROUND((E491+F491)*Settings!$B$8+Settings!$B$9,2),0)</f>
        <v>0</v>
      </c>
      <c r="I491" s="20" t="str">
        <f aca="false">IF(A491="","",E491+F491-H491)</f>
        <v/>
      </c>
      <c r="J491" s="21" t="str">
        <f aca="false">IF(A491="","",MONTH(A491))</f>
        <v/>
      </c>
    </row>
    <row r="492" customFormat="false" ht="15" hidden="false" customHeight="false" outlineLevel="0" collapsed="false">
      <c r="A492" s="19"/>
      <c r="B492" s="7"/>
      <c r="C492" s="7"/>
      <c r="D492" s="7"/>
      <c r="E492" s="17"/>
      <c r="F492" s="17"/>
      <c r="G492" s="7"/>
      <c r="H492" s="20" t="n">
        <f aca="false">IF(G492="Card",ROUND((E492+F492)*Settings!$B$8+Settings!$B$9,2),0)</f>
        <v>0</v>
      </c>
      <c r="I492" s="20" t="str">
        <f aca="false">IF(A492="","",E492+F492-H492)</f>
        <v/>
      </c>
      <c r="J492" s="21" t="str">
        <f aca="false">IF(A492="","",MONTH(A492))</f>
        <v/>
      </c>
    </row>
    <row r="493" customFormat="false" ht="15" hidden="false" customHeight="false" outlineLevel="0" collapsed="false">
      <c r="A493" s="19"/>
      <c r="B493" s="7"/>
      <c r="C493" s="7"/>
      <c r="D493" s="7"/>
      <c r="E493" s="17"/>
      <c r="F493" s="17"/>
      <c r="G493" s="7"/>
      <c r="H493" s="20" t="n">
        <f aca="false">IF(G493="Card",ROUND((E493+F493)*Settings!$B$8+Settings!$B$9,2),0)</f>
        <v>0</v>
      </c>
      <c r="I493" s="20" t="str">
        <f aca="false">IF(A493="","",E493+F493-H493)</f>
        <v/>
      </c>
      <c r="J493" s="21" t="str">
        <f aca="false">IF(A493="","",MONTH(A493))</f>
        <v/>
      </c>
    </row>
    <row r="494" customFormat="false" ht="15" hidden="false" customHeight="false" outlineLevel="0" collapsed="false">
      <c r="A494" s="19"/>
      <c r="B494" s="7"/>
      <c r="C494" s="7"/>
      <c r="D494" s="7"/>
      <c r="E494" s="17"/>
      <c r="F494" s="17"/>
      <c r="G494" s="7"/>
      <c r="H494" s="20" t="n">
        <f aca="false">IF(G494="Card",ROUND((E494+F494)*Settings!$B$8+Settings!$B$9,2),0)</f>
        <v>0</v>
      </c>
      <c r="I494" s="20" t="str">
        <f aca="false">IF(A494="","",E494+F494-H494)</f>
        <v/>
      </c>
      <c r="J494" s="21" t="str">
        <f aca="false">IF(A494="","",MONTH(A494))</f>
        <v/>
      </c>
    </row>
    <row r="495" customFormat="false" ht="15" hidden="false" customHeight="false" outlineLevel="0" collapsed="false">
      <c r="A495" s="19"/>
      <c r="B495" s="7"/>
      <c r="C495" s="7"/>
      <c r="D495" s="7"/>
      <c r="E495" s="17"/>
      <c r="F495" s="17"/>
      <c r="G495" s="7"/>
      <c r="H495" s="20" t="n">
        <f aca="false">IF(G495="Card",ROUND((E495+F495)*Settings!$B$8+Settings!$B$9,2),0)</f>
        <v>0</v>
      </c>
      <c r="I495" s="20" t="str">
        <f aca="false">IF(A495="","",E495+F495-H495)</f>
        <v/>
      </c>
      <c r="J495" s="21" t="str">
        <f aca="false">IF(A495="","",MONTH(A495))</f>
        <v/>
      </c>
    </row>
    <row r="496" customFormat="false" ht="15" hidden="false" customHeight="false" outlineLevel="0" collapsed="false">
      <c r="A496" s="19"/>
      <c r="B496" s="7"/>
      <c r="C496" s="7"/>
      <c r="D496" s="7"/>
      <c r="E496" s="17"/>
      <c r="F496" s="17"/>
      <c r="G496" s="7"/>
      <c r="H496" s="20" t="n">
        <f aca="false">IF(G496="Card",ROUND((E496+F496)*Settings!$B$8+Settings!$B$9,2),0)</f>
        <v>0</v>
      </c>
      <c r="I496" s="20" t="str">
        <f aca="false">IF(A496="","",E496+F496-H496)</f>
        <v/>
      </c>
      <c r="J496" s="21" t="str">
        <f aca="false">IF(A496="","",MONTH(A496))</f>
        <v/>
      </c>
    </row>
    <row r="497" customFormat="false" ht="15" hidden="false" customHeight="false" outlineLevel="0" collapsed="false">
      <c r="A497" s="19"/>
      <c r="B497" s="7"/>
      <c r="C497" s="7"/>
      <c r="D497" s="7"/>
      <c r="E497" s="17"/>
      <c r="F497" s="17"/>
      <c r="G497" s="7"/>
      <c r="H497" s="20" t="n">
        <f aca="false">IF(G497="Card",ROUND((E497+F497)*Settings!$B$8+Settings!$B$9,2),0)</f>
        <v>0</v>
      </c>
      <c r="I497" s="20" t="str">
        <f aca="false">IF(A497="","",E497+F497-H497)</f>
        <v/>
      </c>
      <c r="J497" s="21" t="str">
        <f aca="false">IF(A497="","",MONTH(A497))</f>
        <v/>
      </c>
    </row>
    <row r="498" customFormat="false" ht="15" hidden="false" customHeight="false" outlineLevel="0" collapsed="false">
      <c r="A498" s="19"/>
      <c r="B498" s="7"/>
      <c r="C498" s="7"/>
      <c r="D498" s="7"/>
      <c r="E498" s="17"/>
      <c r="F498" s="17"/>
      <c r="G498" s="7"/>
      <c r="H498" s="20" t="n">
        <f aca="false">IF(G498="Card",ROUND((E498+F498)*Settings!$B$8+Settings!$B$9,2),0)</f>
        <v>0</v>
      </c>
      <c r="I498" s="20" t="str">
        <f aca="false">IF(A498="","",E498+F498-H498)</f>
        <v/>
      </c>
      <c r="J498" s="21" t="str">
        <f aca="false">IF(A498="","",MONTH(A498))</f>
        <v/>
      </c>
    </row>
    <row r="499" customFormat="false" ht="15" hidden="false" customHeight="false" outlineLevel="0" collapsed="false">
      <c r="A499" s="19"/>
      <c r="B499" s="7"/>
      <c r="C499" s="7"/>
      <c r="D499" s="7"/>
      <c r="E499" s="17"/>
      <c r="F499" s="17"/>
      <c r="G499" s="7"/>
      <c r="H499" s="20" t="n">
        <f aca="false">IF(G499="Card",ROUND((E499+F499)*Settings!$B$8+Settings!$B$9,2),0)</f>
        <v>0</v>
      </c>
      <c r="I499" s="20" t="str">
        <f aca="false">IF(A499="","",E499+F499-H499)</f>
        <v/>
      </c>
      <c r="J499" s="21" t="str">
        <f aca="false">IF(A499="","",MONTH(A499))</f>
        <v/>
      </c>
    </row>
    <row r="500" customFormat="false" ht="15" hidden="false" customHeight="false" outlineLevel="0" collapsed="false">
      <c r="A500" s="19"/>
      <c r="B500" s="7"/>
      <c r="C500" s="7"/>
      <c r="D500" s="7"/>
      <c r="E500" s="17"/>
      <c r="F500" s="17"/>
      <c r="G500" s="7"/>
      <c r="H500" s="20" t="n">
        <f aca="false">IF(G500="Card",ROUND((E500+F500)*Settings!$B$8+Settings!$B$9,2),0)</f>
        <v>0</v>
      </c>
      <c r="I500" s="20" t="str">
        <f aca="false">IF(A500="","",E500+F500-H500)</f>
        <v/>
      </c>
      <c r="J500" s="21" t="str">
        <f aca="false">IF(A500="","",MONTH(A500))</f>
        <v/>
      </c>
    </row>
    <row r="501" customFormat="false" ht="15" hidden="false" customHeight="false" outlineLevel="0" collapsed="false">
      <c r="A501" s="19"/>
      <c r="B501" s="7"/>
      <c r="C501" s="7"/>
      <c r="D501" s="7"/>
      <c r="E501" s="17"/>
      <c r="F501" s="17"/>
      <c r="G501" s="7"/>
      <c r="H501" s="20" t="n">
        <f aca="false">IF(G501="Card",ROUND((E501+F501)*Settings!$B$8+Settings!$B$9,2),0)</f>
        <v>0</v>
      </c>
      <c r="I501" s="20" t="str">
        <f aca="false">IF(A501="","",E501+F501-H501)</f>
        <v/>
      </c>
      <c r="J501" s="21" t="str">
        <f aca="false">IF(A501="","",MONTH(A501))</f>
        <v/>
      </c>
    </row>
    <row r="502" customFormat="false" ht="15" hidden="false" customHeight="false" outlineLevel="0" collapsed="false">
      <c r="A502" s="19"/>
      <c r="B502" s="7"/>
      <c r="C502" s="7"/>
      <c r="D502" s="7"/>
      <c r="E502" s="17"/>
      <c r="F502" s="17"/>
      <c r="G502" s="7"/>
      <c r="H502" s="20" t="n">
        <f aca="false">IF(G502="Card",ROUND((E502+F502)*Settings!$B$8+Settings!$B$9,2),0)</f>
        <v>0</v>
      </c>
      <c r="I502" s="20" t="str">
        <f aca="false">IF(A502="","",E502+F502-H502)</f>
        <v/>
      </c>
      <c r="J502" s="21" t="str">
        <f aca="false">IF(A502="","",MONTH(A502))</f>
        <v/>
      </c>
    </row>
    <row r="503" customFormat="false" ht="15" hidden="false" customHeight="false" outlineLevel="0" collapsed="false">
      <c r="A503" s="19"/>
      <c r="B503" s="7"/>
      <c r="C503" s="7"/>
      <c r="D503" s="7"/>
      <c r="E503" s="17"/>
      <c r="F503" s="17"/>
      <c r="G503" s="7"/>
      <c r="H503" s="20" t="n">
        <f aca="false">IF(G503="Card",ROUND((E503+F503)*Settings!$B$8+Settings!$B$9,2),0)</f>
        <v>0</v>
      </c>
      <c r="I503" s="20" t="str">
        <f aca="false">IF(A503="","",E503+F503-H503)</f>
        <v/>
      </c>
      <c r="J503" s="21" t="str">
        <f aca="false">IF(A503="","",MONTH(A503))</f>
        <v/>
      </c>
    </row>
    <row r="504" customFormat="false" ht="15" hidden="false" customHeight="false" outlineLevel="0" collapsed="false">
      <c r="A504" s="19"/>
      <c r="B504" s="7"/>
      <c r="C504" s="7"/>
      <c r="D504" s="7"/>
      <c r="E504" s="17"/>
      <c r="F504" s="17"/>
      <c r="G504" s="7"/>
      <c r="H504" s="20" t="n">
        <f aca="false">IF(G504="Card",ROUND((E504+F504)*Settings!$B$8+Settings!$B$9,2),0)</f>
        <v>0</v>
      </c>
      <c r="I504" s="20" t="str">
        <f aca="false">IF(A504="","",E504+F504-H504)</f>
        <v/>
      </c>
      <c r="J504" s="21" t="str">
        <f aca="false">IF(A504="","",MONTH(A504))</f>
        <v/>
      </c>
    </row>
    <row r="505" customFormat="false" ht="15" hidden="false" customHeight="false" outlineLevel="0" collapsed="false">
      <c r="A505" s="19"/>
      <c r="B505" s="7"/>
      <c r="C505" s="7"/>
      <c r="D505" s="7"/>
      <c r="E505" s="17"/>
      <c r="F505" s="17"/>
      <c r="G505" s="7"/>
      <c r="H505" s="20" t="n">
        <f aca="false">IF(G505="Card",ROUND((E505+F505)*Settings!$B$8+Settings!$B$9,2),0)</f>
        <v>0</v>
      </c>
      <c r="I505" s="20" t="str">
        <f aca="false">IF(A505="","",E505+F505-H505)</f>
        <v/>
      </c>
      <c r="J505" s="21" t="str">
        <f aca="false">IF(A505="","",MONTH(A505))</f>
        <v/>
      </c>
    </row>
    <row r="506" customFormat="false" ht="15" hidden="false" customHeight="false" outlineLevel="0" collapsed="false">
      <c r="A506" s="19"/>
      <c r="B506" s="7"/>
      <c r="C506" s="7"/>
      <c r="D506" s="7"/>
      <c r="E506" s="17"/>
      <c r="F506" s="17"/>
      <c r="G506" s="7"/>
      <c r="H506" s="20" t="n">
        <f aca="false">IF(G506="Card",ROUND((E506+F506)*Settings!$B$8+Settings!$B$9,2),0)</f>
        <v>0</v>
      </c>
      <c r="I506" s="20" t="str">
        <f aca="false">IF(A506="","",E506+F506-H506)</f>
        <v/>
      </c>
      <c r="J506" s="21" t="str">
        <f aca="false">IF(A506="","",MONTH(A506))</f>
        <v/>
      </c>
    </row>
    <row r="507" customFormat="false" ht="15" hidden="false" customHeight="false" outlineLevel="0" collapsed="false">
      <c r="A507" s="19"/>
      <c r="B507" s="7"/>
      <c r="C507" s="7"/>
      <c r="D507" s="7"/>
      <c r="E507" s="17"/>
      <c r="F507" s="17"/>
      <c r="G507" s="7"/>
      <c r="H507" s="20" t="n">
        <f aca="false">IF(G507="Card",ROUND((E507+F507)*Settings!$B$8+Settings!$B$9,2),0)</f>
        <v>0</v>
      </c>
      <c r="I507" s="20" t="str">
        <f aca="false">IF(A507="","",E507+F507-H507)</f>
        <v/>
      </c>
      <c r="J507" s="21" t="str">
        <f aca="false">IF(A507="","",MONTH(A507))</f>
        <v/>
      </c>
    </row>
    <row r="508" customFormat="false" ht="15" hidden="false" customHeight="false" outlineLevel="0" collapsed="false">
      <c r="A508" s="19"/>
      <c r="B508" s="7"/>
      <c r="C508" s="7"/>
      <c r="D508" s="7"/>
      <c r="E508" s="17"/>
      <c r="F508" s="17"/>
      <c r="G508" s="7"/>
      <c r="H508" s="20" t="n">
        <f aca="false">IF(G508="Card",ROUND((E508+F508)*Settings!$B$8+Settings!$B$9,2),0)</f>
        <v>0</v>
      </c>
      <c r="I508" s="20" t="str">
        <f aca="false">IF(A508="","",E508+F508-H508)</f>
        <v/>
      </c>
      <c r="J508" s="21" t="str">
        <f aca="false">IF(A508="","",MONTH(A508))</f>
        <v/>
      </c>
    </row>
    <row r="509" customFormat="false" ht="15" hidden="false" customHeight="false" outlineLevel="0" collapsed="false">
      <c r="A509" s="19"/>
      <c r="B509" s="7"/>
      <c r="C509" s="7"/>
      <c r="D509" s="7"/>
      <c r="E509" s="17"/>
      <c r="F509" s="17"/>
      <c r="G509" s="7"/>
      <c r="H509" s="20" t="n">
        <f aca="false">IF(G509="Card",ROUND((E509+F509)*Settings!$B$8+Settings!$B$9,2),0)</f>
        <v>0</v>
      </c>
      <c r="I509" s="20" t="str">
        <f aca="false">IF(A509="","",E509+F509-H509)</f>
        <v/>
      </c>
      <c r="J509" s="21" t="str">
        <f aca="false">IF(A509="","",MONTH(A509))</f>
        <v/>
      </c>
    </row>
    <row r="510" customFormat="false" ht="15" hidden="false" customHeight="false" outlineLevel="0" collapsed="false">
      <c r="A510" s="19"/>
      <c r="B510" s="7"/>
      <c r="C510" s="7"/>
      <c r="D510" s="7"/>
      <c r="E510" s="17"/>
      <c r="F510" s="17"/>
      <c r="G510" s="7"/>
      <c r="H510" s="20" t="n">
        <f aca="false">IF(G510="Card",ROUND((E510+F510)*Settings!$B$8+Settings!$B$9,2),0)</f>
        <v>0</v>
      </c>
      <c r="I510" s="20" t="str">
        <f aca="false">IF(A510="","",E510+F510-H510)</f>
        <v/>
      </c>
      <c r="J510" s="21" t="str">
        <f aca="false">IF(A510="","",MONTH(A510))</f>
        <v/>
      </c>
    </row>
    <row r="511" customFormat="false" ht="15" hidden="false" customHeight="false" outlineLevel="0" collapsed="false">
      <c r="A511" s="19"/>
      <c r="B511" s="7"/>
      <c r="C511" s="7"/>
      <c r="D511" s="7"/>
      <c r="E511" s="17"/>
      <c r="F511" s="17"/>
      <c r="G511" s="7"/>
      <c r="H511" s="20" t="n">
        <f aca="false">IF(G511="Card",ROUND((E511+F511)*Settings!$B$8+Settings!$B$9,2),0)</f>
        <v>0</v>
      </c>
      <c r="I511" s="20" t="str">
        <f aca="false">IF(A511="","",E511+F511-H511)</f>
        <v/>
      </c>
      <c r="J511" s="21" t="str">
        <f aca="false">IF(A511="","",MONTH(A511))</f>
        <v/>
      </c>
    </row>
    <row r="512" customFormat="false" ht="15" hidden="false" customHeight="false" outlineLevel="0" collapsed="false">
      <c r="A512" s="19"/>
      <c r="B512" s="7"/>
      <c r="C512" s="7"/>
      <c r="D512" s="7"/>
      <c r="E512" s="17"/>
      <c r="F512" s="17"/>
      <c r="G512" s="7"/>
      <c r="H512" s="20" t="n">
        <f aca="false">IF(G512="Card",ROUND((E512+F512)*Settings!$B$8+Settings!$B$9,2),0)</f>
        <v>0</v>
      </c>
      <c r="I512" s="20" t="str">
        <f aca="false">IF(A512="","",E512+F512-H512)</f>
        <v/>
      </c>
      <c r="J512" s="21" t="str">
        <f aca="false">IF(A512="","",MONTH(A512))</f>
        <v/>
      </c>
    </row>
    <row r="513" customFormat="false" ht="15" hidden="false" customHeight="false" outlineLevel="0" collapsed="false">
      <c r="A513" s="19"/>
      <c r="B513" s="7"/>
      <c r="C513" s="7"/>
      <c r="D513" s="7"/>
      <c r="E513" s="17"/>
      <c r="F513" s="17"/>
      <c r="G513" s="7"/>
      <c r="H513" s="20" t="n">
        <f aca="false">IF(G513="Card",ROUND((E513+F513)*Settings!$B$8+Settings!$B$9,2),0)</f>
        <v>0</v>
      </c>
      <c r="I513" s="20" t="str">
        <f aca="false">IF(A513="","",E513+F513-H513)</f>
        <v/>
      </c>
      <c r="J513" s="21" t="str">
        <f aca="false">IF(A513="","",MONTH(A513))</f>
        <v/>
      </c>
    </row>
    <row r="514" customFormat="false" ht="15" hidden="false" customHeight="false" outlineLevel="0" collapsed="false">
      <c r="A514" s="19"/>
      <c r="B514" s="7"/>
      <c r="C514" s="7"/>
      <c r="D514" s="7"/>
      <c r="E514" s="17"/>
      <c r="F514" s="17"/>
      <c r="G514" s="7"/>
      <c r="H514" s="20" t="n">
        <f aca="false">IF(G514="Card",ROUND((E514+F514)*Settings!$B$8+Settings!$B$9,2),0)</f>
        <v>0</v>
      </c>
      <c r="I514" s="20" t="str">
        <f aca="false">IF(A514="","",E514+F514-H514)</f>
        <v/>
      </c>
      <c r="J514" s="21" t="str">
        <f aca="false">IF(A514="","",MONTH(A514))</f>
        <v/>
      </c>
    </row>
    <row r="515" customFormat="false" ht="15" hidden="false" customHeight="false" outlineLevel="0" collapsed="false">
      <c r="A515" s="19"/>
      <c r="B515" s="7"/>
      <c r="C515" s="7"/>
      <c r="D515" s="7"/>
      <c r="E515" s="17"/>
      <c r="F515" s="17"/>
      <c r="G515" s="7"/>
      <c r="H515" s="20" t="n">
        <f aca="false">IF(G515="Card",ROUND((E515+F515)*Settings!$B$8+Settings!$B$9,2),0)</f>
        <v>0</v>
      </c>
      <c r="I515" s="20" t="str">
        <f aca="false">IF(A515="","",E515+F515-H515)</f>
        <v/>
      </c>
      <c r="J515" s="21" t="str">
        <f aca="false">IF(A515="","",MONTH(A515))</f>
        <v/>
      </c>
    </row>
    <row r="516" customFormat="false" ht="15" hidden="false" customHeight="false" outlineLevel="0" collapsed="false">
      <c r="A516" s="19"/>
      <c r="B516" s="7"/>
      <c r="C516" s="7"/>
      <c r="D516" s="7"/>
      <c r="E516" s="17"/>
      <c r="F516" s="17"/>
      <c r="G516" s="7"/>
      <c r="H516" s="20" t="n">
        <f aca="false">IF(G516="Card",ROUND((E516+F516)*Settings!$B$8+Settings!$B$9,2),0)</f>
        <v>0</v>
      </c>
      <c r="I516" s="20" t="str">
        <f aca="false">IF(A516="","",E516+F516-H516)</f>
        <v/>
      </c>
      <c r="J516" s="21" t="str">
        <f aca="false">IF(A516="","",MONTH(A516))</f>
        <v/>
      </c>
    </row>
    <row r="517" customFormat="false" ht="15" hidden="false" customHeight="false" outlineLevel="0" collapsed="false">
      <c r="A517" s="19"/>
      <c r="B517" s="7"/>
      <c r="C517" s="7"/>
      <c r="D517" s="7"/>
      <c r="E517" s="17"/>
      <c r="F517" s="17"/>
      <c r="G517" s="7"/>
      <c r="H517" s="20" t="n">
        <f aca="false">IF(G517="Card",ROUND((E517+F517)*Settings!$B$8+Settings!$B$9,2),0)</f>
        <v>0</v>
      </c>
      <c r="I517" s="20" t="str">
        <f aca="false">IF(A517="","",E517+F517-H517)</f>
        <v/>
      </c>
      <c r="J517" s="21" t="str">
        <f aca="false">IF(A517="","",MONTH(A517))</f>
        <v/>
      </c>
    </row>
    <row r="518" customFormat="false" ht="15" hidden="false" customHeight="false" outlineLevel="0" collapsed="false">
      <c r="A518" s="19"/>
      <c r="B518" s="7"/>
      <c r="C518" s="7"/>
      <c r="D518" s="7"/>
      <c r="E518" s="17"/>
      <c r="F518" s="17"/>
      <c r="G518" s="7"/>
      <c r="H518" s="20" t="n">
        <f aca="false">IF(G518="Card",ROUND((E518+F518)*Settings!$B$8+Settings!$B$9,2),0)</f>
        <v>0</v>
      </c>
      <c r="I518" s="20" t="str">
        <f aca="false">IF(A518="","",E518+F518-H518)</f>
        <v/>
      </c>
      <c r="J518" s="21" t="str">
        <f aca="false">IF(A518="","",MONTH(A518))</f>
        <v/>
      </c>
    </row>
    <row r="519" customFormat="false" ht="15" hidden="false" customHeight="false" outlineLevel="0" collapsed="false">
      <c r="A519" s="19"/>
      <c r="B519" s="7"/>
      <c r="C519" s="7"/>
      <c r="D519" s="7"/>
      <c r="E519" s="17"/>
      <c r="F519" s="17"/>
      <c r="G519" s="7"/>
      <c r="H519" s="20" t="n">
        <f aca="false">IF(G519="Card",ROUND((E519+F519)*Settings!$B$8+Settings!$B$9,2),0)</f>
        <v>0</v>
      </c>
      <c r="I519" s="20" t="str">
        <f aca="false">IF(A519="","",E519+F519-H519)</f>
        <v/>
      </c>
      <c r="J519" s="21" t="str">
        <f aca="false">IF(A519="","",MONTH(A519))</f>
        <v/>
      </c>
    </row>
    <row r="520" customFormat="false" ht="15" hidden="false" customHeight="false" outlineLevel="0" collapsed="false">
      <c r="A520" s="19"/>
      <c r="B520" s="7"/>
      <c r="C520" s="7"/>
      <c r="D520" s="7"/>
      <c r="E520" s="17"/>
      <c r="F520" s="17"/>
      <c r="G520" s="7"/>
      <c r="H520" s="20" t="n">
        <f aca="false">IF(G520="Card",ROUND((E520+F520)*Settings!$B$8+Settings!$B$9,2),0)</f>
        <v>0</v>
      </c>
      <c r="I520" s="20" t="str">
        <f aca="false">IF(A520="","",E520+F520-H520)</f>
        <v/>
      </c>
      <c r="J520" s="21" t="str">
        <f aca="false">IF(A520="","",MONTH(A520))</f>
        <v/>
      </c>
    </row>
    <row r="521" customFormat="false" ht="15" hidden="false" customHeight="false" outlineLevel="0" collapsed="false">
      <c r="A521" s="19"/>
      <c r="B521" s="7"/>
      <c r="C521" s="7"/>
      <c r="D521" s="7"/>
      <c r="E521" s="17"/>
      <c r="F521" s="17"/>
      <c r="G521" s="7"/>
      <c r="H521" s="20" t="n">
        <f aca="false">IF(G521="Card",ROUND((E521+F521)*Settings!$B$8+Settings!$B$9,2),0)</f>
        <v>0</v>
      </c>
      <c r="I521" s="20" t="str">
        <f aca="false">IF(A521="","",E521+F521-H521)</f>
        <v/>
      </c>
      <c r="J521" s="21" t="str">
        <f aca="false">IF(A521="","",MONTH(A521))</f>
        <v/>
      </c>
    </row>
    <row r="522" customFormat="false" ht="15" hidden="false" customHeight="false" outlineLevel="0" collapsed="false">
      <c r="A522" s="19"/>
      <c r="B522" s="7"/>
      <c r="C522" s="7"/>
      <c r="D522" s="7"/>
      <c r="E522" s="17"/>
      <c r="F522" s="17"/>
      <c r="G522" s="7"/>
      <c r="H522" s="20" t="n">
        <f aca="false">IF(G522="Card",ROUND((E522+F522)*Settings!$B$8+Settings!$B$9,2),0)</f>
        <v>0</v>
      </c>
      <c r="I522" s="20" t="str">
        <f aca="false">IF(A522="","",E522+F522-H522)</f>
        <v/>
      </c>
      <c r="J522" s="21" t="str">
        <f aca="false">IF(A522="","",MONTH(A522))</f>
        <v/>
      </c>
    </row>
    <row r="523" customFormat="false" ht="15" hidden="false" customHeight="false" outlineLevel="0" collapsed="false">
      <c r="A523" s="19"/>
      <c r="B523" s="7"/>
      <c r="C523" s="7"/>
      <c r="D523" s="7"/>
      <c r="E523" s="17"/>
      <c r="F523" s="17"/>
      <c r="G523" s="7"/>
      <c r="H523" s="20" t="n">
        <f aca="false">IF(G523="Card",ROUND((E523+F523)*Settings!$B$8+Settings!$B$9,2),0)</f>
        <v>0</v>
      </c>
      <c r="I523" s="20" t="str">
        <f aca="false">IF(A523="","",E523+F523-H523)</f>
        <v/>
      </c>
      <c r="J523" s="21" t="str">
        <f aca="false">IF(A523="","",MONTH(A523))</f>
        <v/>
      </c>
    </row>
    <row r="524" customFormat="false" ht="15" hidden="false" customHeight="false" outlineLevel="0" collapsed="false">
      <c r="A524" s="19"/>
      <c r="B524" s="7"/>
      <c r="C524" s="7"/>
      <c r="D524" s="7"/>
      <c r="E524" s="17"/>
      <c r="F524" s="17"/>
      <c r="G524" s="7"/>
      <c r="H524" s="20" t="n">
        <f aca="false">IF(G524="Card",ROUND((E524+F524)*Settings!$B$8+Settings!$B$9,2),0)</f>
        <v>0</v>
      </c>
      <c r="I524" s="20" t="str">
        <f aca="false">IF(A524="","",E524+F524-H524)</f>
        <v/>
      </c>
      <c r="J524" s="21" t="str">
        <f aca="false">IF(A524="","",MONTH(A524))</f>
        <v/>
      </c>
    </row>
    <row r="525" customFormat="false" ht="15" hidden="false" customHeight="false" outlineLevel="0" collapsed="false">
      <c r="A525" s="19"/>
      <c r="B525" s="7"/>
      <c r="C525" s="7"/>
      <c r="D525" s="7"/>
      <c r="E525" s="17"/>
      <c r="F525" s="17"/>
      <c r="G525" s="7"/>
      <c r="H525" s="20" t="n">
        <f aca="false">IF(G525="Card",ROUND((E525+F525)*Settings!$B$8+Settings!$B$9,2),0)</f>
        <v>0</v>
      </c>
      <c r="I525" s="20" t="str">
        <f aca="false">IF(A525="","",E525+F525-H525)</f>
        <v/>
      </c>
      <c r="J525" s="21" t="str">
        <f aca="false">IF(A525="","",MONTH(A525))</f>
        <v/>
      </c>
    </row>
    <row r="526" customFormat="false" ht="15" hidden="false" customHeight="false" outlineLevel="0" collapsed="false">
      <c r="A526" s="19"/>
      <c r="B526" s="7"/>
      <c r="C526" s="7"/>
      <c r="D526" s="7"/>
      <c r="E526" s="17"/>
      <c r="F526" s="17"/>
      <c r="G526" s="7"/>
      <c r="H526" s="20" t="n">
        <f aca="false">IF(G526="Card",ROUND((E526+F526)*Settings!$B$8+Settings!$B$9,2),0)</f>
        <v>0</v>
      </c>
      <c r="I526" s="20" t="str">
        <f aca="false">IF(A526="","",E526+F526-H526)</f>
        <v/>
      </c>
      <c r="J526" s="21" t="str">
        <f aca="false">IF(A526="","",MONTH(A526))</f>
        <v/>
      </c>
    </row>
    <row r="527" customFormat="false" ht="15" hidden="false" customHeight="false" outlineLevel="0" collapsed="false">
      <c r="A527" s="19"/>
      <c r="B527" s="7"/>
      <c r="C527" s="7"/>
      <c r="D527" s="7"/>
      <c r="E527" s="17"/>
      <c r="F527" s="17"/>
      <c r="G527" s="7"/>
      <c r="H527" s="20" t="n">
        <f aca="false">IF(G527="Card",ROUND((E527+F527)*Settings!$B$8+Settings!$B$9,2),0)</f>
        <v>0</v>
      </c>
      <c r="I527" s="20" t="str">
        <f aca="false">IF(A527="","",E527+F527-H527)</f>
        <v/>
      </c>
      <c r="J527" s="21" t="str">
        <f aca="false">IF(A527="","",MONTH(A527))</f>
        <v/>
      </c>
    </row>
    <row r="528" customFormat="false" ht="15" hidden="false" customHeight="false" outlineLevel="0" collapsed="false">
      <c r="A528" s="19"/>
      <c r="B528" s="7"/>
      <c r="C528" s="7"/>
      <c r="D528" s="7"/>
      <c r="E528" s="17"/>
      <c r="F528" s="17"/>
      <c r="G528" s="7"/>
      <c r="H528" s="20" t="n">
        <f aca="false">IF(G528="Card",ROUND((E528+F528)*Settings!$B$8+Settings!$B$9,2),0)</f>
        <v>0</v>
      </c>
      <c r="I528" s="20" t="str">
        <f aca="false">IF(A528="","",E528+F528-H528)</f>
        <v/>
      </c>
      <c r="J528" s="21" t="str">
        <f aca="false">IF(A528="","",MONTH(A528))</f>
        <v/>
      </c>
    </row>
    <row r="529" customFormat="false" ht="15" hidden="false" customHeight="false" outlineLevel="0" collapsed="false">
      <c r="A529" s="19"/>
      <c r="B529" s="7"/>
      <c r="C529" s="7"/>
      <c r="D529" s="7"/>
      <c r="E529" s="17"/>
      <c r="F529" s="17"/>
      <c r="G529" s="7"/>
      <c r="H529" s="20" t="n">
        <f aca="false">IF(G529="Card",ROUND((E529+F529)*Settings!$B$8+Settings!$B$9,2),0)</f>
        <v>0</v>
      </c>
      <c r="I529" s="20" t="str">
        <f aca="false">IF(A529="","",E529+F529-H529)</f>
        <v/>
      </c>
      <c r="J529" s="21" t="str">
        <f aca="false">IF(A529="","",MONTH(A529))</f>
        <v/>
      </c>
    </row>
    <row r="530" customFormat="false" ht="15" hidden="false" customHeight="false" outlineLevel="0" collapsed="false">
      <c r="A530" s="19"/>
      <c r="B530" s="7"/>
      <c r="C530" s="7"/>
      <c r="D530" s="7"/>
      <c r="E530" s="17"/>
      <c r="F530" s="17"/>
      <c r="G530" s="7"/>
      <c r="H530" s="20" t="n">
        <f aca="false">IF(G530="Card",ROUND((E530+F530)*Settings!$B$8+Settings!$B$9,2),0)</f>
        <v>0</v>
      </c>
      <c r="I530" s="20" t="str">
        <f aca="false">IF(A530="","",E530+F530-H530)</f>
        <v/>
      </c>
      <c r="J530" s="21" t="str">
        <f aca="false">IF(A530="","",MONTH(A530))</f>
        <v/>
      </c>
    </row>
    <row r="531" customFormat="false" ht="15" hidden="false" customHeight="false" outlineLevel="0" collapsed="false">
      <c r="A531" s="19"/>
      <c r="B531" s="7"/>
      <c r="C531" s="7"/>
      <c r="D531" s="7"/>
      <c r="E531" s="17"/>
      <c r="F531" s="17"/>
      <c r="G531" s="7"/>
      <c r="H531" s="20" t="n">
        <f aca="false">IF(G531="Card",ROUND((E531+F531)*Settings!$B$8+Settings!$B$9,2),0)</f>
        <v>0</v>
      </c>
      <c r="I531" s="20" t="str">
        <f aca="false">IF(A531="","",E531+F531-H531)</f>
        <v/>
      </c>
      <c r="J531" s="21" t="str">
        <f aca="false">IF(A531="","",MONTH(A531))</f>
        <v/>
      </c>
    </row>
    <row r="532" customFormat="false" ht="15" hidden="false" customHeight="false" outlineLevel="0" collapsed="false">
      <c r="A532" s="19"/>
      <c r="B532" s="7"/>
      <c r="C532" s="7"/>
      <c r="D532" s="7"/>
      <c r="E532" s="17"/>
      <c r="F532" s="17"/>
      <c r="G532" s="7"/>
      <c r="H532" s="20" t="n">
        <f aca="false">IF(G532="Card",ROUND((E532+F532)*Settings!$B$8+Settings!$B$9,2),0)</f>
        <v>0</v>
      </c>
      <c r="I532" s="20" t="str">
        <f aca="false">IF(A532="","",E532+F532-H532)</f>
        <v/>
      </c>
      <c r="J532" s="21" t="str">
        <f aca="false">IF(A532="","",MONTH(A532))</f>
        <v/>
      </c>
    </row>
    <row r="533" customFormat="false" ht="15" hidden="false" customHeight="false" outlineLevel="0" collapsed="false">
      <c r="A533" s="19"/>
      <c r="B533" s="7"/>
      <c r="C533" s="7"/>
      <c r="D533" s="7"/>
      <c r="E533" s="17"/>
      <c r="F533" s="17"/>
      <c r="G533" s="7"/>
      <c r="H533" s="20" t="n">
        <f aca="false">IF(G533="Card",ROUND((E533+F533)*Settings!$B$8+Settings!$B$9,2),0)</f>
        <v>0</v>
      </c>
      <c r="I533" s="20" t="str">
        <f aca="false">IF(A533="","",E533+F533-H533)</f>
        <v/>
      </c>
      <c r="J533" s="21" t="str">
        <f aca="false">IF(A533="","",MONTH(A533))</f>
        <v/>
      </c>
    </row>
    <row r="534" customFormat="false" ht="15" hidden="false" customHeight="false" outlineLevel="0" collapsed="false">
      <c r="A534" s="19"/>
      <c r="B534" s="7"/>
      <c r="C534" s="7"/>
      <c r="D534" s="7"/>
      <c r="E534" s="17"/>
      <c r="F534" s="17"/>
      <c r="G534" s="7"/>
      <c r="H534" s="20" t="n">
        <f aca="false">IF(G534="Card",ROUND((E534+F534)*Settings!$B$8+Settings!$B$9,2),0)</f>
        <v>0</v>
      </c>
      <c r="I534" s="20" t="str">
        <f aca="false">IF(A534="","",E534+F534-H534)</f>
        <v/>
      </c>
      <c r="J534" s="21" t="str">
        <f aca="false">IF(A534="","",MONTH(A534))</f>
        <v/>
      </c>
    </row>
    <row r="535" customFormat="false" ht="15" hidden="false" customHeight="false" outlineLevel="0" collapsed="false">
      <c r="A535" s="19"/>
      <c r="B535" s="7"/>
      <c r="C535" s="7"/>
      <c r="D535" s="7"/>
      <c r="E535" s="17"/>
      <c r="F535" s="17"/>
      <c r="G535" s="7"/>
      <c r="H535" s="20" t="n">
        <f aca="false">IF(G535="Card",ROUND((E535+F535)*Settings!$B$8+Settings!$B$9,2),0)</f>
        <v>0</v>
      </c>
      <c r="I535" s="20" t="str">
        <f aca="false">IF(A535="","",E535+F535-H535)</f>
        <v/>
      </c>
      <c r="J535" s="21" t="str">
        <f aca="false">IF(A535="","",MONTH(A535))</f>
        <v/>
      </c>
    </row>
    <row r="536" customFormat="false" ht="15" hidden="false" customHeight="false" outlineLevel="0" collapsed="false">
      <c r="A536" s="19"/>
      <c r="B536" s="7"/>
      <c r="C536" s="7"/>
      <c r="D536" s="7"/>
      <c r="E536" s="17"/>
      <c r="F536" s="17"/>
      <c r="G536" s="7"/>
      <c r="H536" s="20" t="n">
        <f aca="false">IF(G536="Card",ROUND((E536+F536)*Settings!$B$8+Settings!$B$9,2),0)</f>
        <v>0</v>
      </c>
      <c r="I536" s="20" t="str">
        <f aca="false">IF(A536="","",E536+F536-H536)</f>
        <v/>
      </c>
      <c r="J536" s="21" t="str">
        <f aca="false">IF(A536="","",MONTH(A536))</f>
        <v/>
      </c>
    </row>
    <row r="537" customFormat="false" ht="15" hidden="false" customHeight="false" outlineLevel="0" collapsed="false">
      <c r="A537" s="19"/>
      <c r="B537" s="7"/>
      <c r="C537" s="7"/>
      <c r="D537" s="7"/>
      <c r="E537" s="17"/>
      <c r="F537" s="17"/>
      <c r="G537" s="7"/>
      <c r="H537" s="20" t="n">
        <f aca="false">IF(G537="Card",ROUND((E537+F537)*Settings!$B$8+Settings!$B$9,2),0)</f>
        <v>0</v>
      </c>
      <c r="I537" s="20" t="str">
        <f aca="false">IF(A537="","",E537+F537-H537)</f>
        <v/>
      </c>
      <c r="J537" s="21" t="str">
        <f aca="false">IF(A537="","",MONTH(A537))</f>
        <v/>
      </c>
    </row>
    <row r="538" customFormat="false" ht="15" hidden="false" customHeight="false" outlineLevel="0" collapsed="false">
      <c r="A538" s="19"/>
      <c r="B538" s="7"/>
      <c r="C538" s="7"/>
      <c r="D538" s="7"/>
      <c r="E538" s="17"/>
      <c r="F538" s="17"/>
      <c r="G538" s="7"/>
      <c r="H538" s="20" t="n">
        <f aca="false">IF(G538="Card",ROUND((E538+F538)*Settings!$B$8+Settings!$B$9,2),0)</f>
        <v>0</v>
      </c>
      <c r="I538" s="20" t="str">
        <f aca="false">IF(A538="","",E538+F538-H538)</f>
        <v/>
      </c>
      <c r="J538" s="21" t="str">
        <f aca="false">IF(A538="","",MONTH(A538))</f>
        <v/>
      </c>
    </row>
    <row r="539" customFormat="false" ht="15" hidden="false" customHeight="false" outlineLevel="0" collapsed="false">
      <c r="A539" s="19"/>
      <c r="B539" s="7"/>
      <c r="C539" s="7"/>
      <c r="D539" s="7"/>
      <c r="E539" s="17"/>
      <c r="F539" s="17"/>
      <c r="G539" s="7"/>
      <c r="H539" s="20" t="n">
        <f aca="false">IF(G539="Card",ROUND((E539+F539)*Settings!$B$8+Settings!$B$9,2),0)</f>
        <v>0</v>
      </c>
      <c r="I539" s="20" t="str">
        <f aca="false">IF(A539="","",E539+F539-H539)</f>
        <v/>
      </c>
      <c r="J539" s="21" t="str">
        <f aca="false">IF(A539="","",MONTH(A539))</f>
        <v/>
      </c>
    </row>
    <row r="540" customFormat="false" ht="15" hidden="false" customHeight="false" outlineLevel="0" collapsed="false">
      <c r="A540" s="19"/>
      <c r="B540" s="7"/>
      <c r="C540" s="7"/>
      <c r="D540" s="7"/>
      <c r="E540" s="17"/>
      <c r="F540" s="17"/>
      <c r="G540" s="7"/>
      <c r="H540" s="20" t="n">
        <f aca="false">IF(G540="Card",ROUND((E540+F540)*Settings!$B$8+Settings!$B$9,2),0)</f>
        <v>0</v>
      </c>
      <c r="I540" s="20" t="str">
        <f aca="false">IF(A540="","",E540+F540-H540)</f>
        <v/>
      </c>
      <c r="J540" s="21" t="str">
        <f aca="false">IF(A540="","",MONTH(A540))</f>
        <v/>
      </c>
    </row>
    <row r="541" customFormat="false" ht="15" hidden="false" customHeight="false" outlineLevel="0" collapsed="false">
      <c r="A541" s="19"/>
      <c r="B541" s="7"/>
      <c r="C541" s="7"/>
      <c r="D541" s="7"/>
      <c r="E541" s="17"/>
      <c r="F541" s="17"/>
      <c r="G541" s="7"/>
      <c r="H541" s="20" t="n">
        <f aca="false">IF(G541="Card",ROUND((E541+F541)*Settings!$B$8+Settings!$B$9,2),0)</f>
        <v>0</v>
      </c>
      <c r="I541" s="20" t="str">
        <f aca="false">IF(A541="","",E541+F541-H541)</f>
        <v/>
      </c>
      <c r="J541" s="21" t="str">
        <f aca="false">IF(A541="","",MONTH(A541))</f>
        <v/>
      </c>
    </row>
    <row r="542" customFormat="false" ht="15" hidden="false" customHeight="false" outlineLevel="0" collapsed="false">
      <c r="A542" s="19"/>
      <c r="B542" s="7"/>
      <c r="C542" s="7"/>
      <c r="D542" s="7"/>
      <c r="E542" s="17"/>
      <c r="F542" s="17"/>
      <c r="G542" s="7"/>
      <c r="H542" s="20" t="n">
        <f aca="false">IF(G542="Card",ROUND((E542+F542)*Settings!$B$8+Settings!$B$9,2),0)</f>
        <v>0</v>
      </c>
      <c r="I542" s="20" t="str">
        <f aca="false">IF(A542="","",E542+F542-H542)</f>
        <v/>
      </c>
      <c r="J542" s="21" t="str">
        <f aca="false">IF(A542="","",MONTH(A542))</f>
        <v/>
      </c>
    </row>
    <row r="543" customFormat="false" ht="15" hidden="false" customHeight="false" outlineLevel="0" collapsed="false">
      <c r="A543" s="19"/>
      <c r="B543" s="7"/>
      <c r="C543" s="7"/>
      <c r="D543" s="7"/>
      <c r="E543" s="17"/>
      <c r="F543" s="17"/>
      <c r="G543" s="7"/>
      <c r="H543" s="20" t="n">
        <f aca="false">IF(G543="Card",ROUND((E543+F543)*Settings!$B$8+Settings!$B$9,2),0)</f>
        <v>0</v>
      </c>
      <c r="I543" s="20" t="str">
        <f aca="false">IF(A543="","",E543+F543-H543)</f>
        <v/>
      </c>
      <c r="J543" s="21" t="str">
        <f aca="false">IF(A543="","",MONTH(A543))</f>
        <v/>
      </c>
    </row>
    <row r="544" customFormat="false" ht="15" hidden="false" customHeight="false" outlineLevel="0" collapsed="false">
      <c r="A544" s="19"/>
      <c r="B544" s="7"/>
      <c r="C544" s="7"/>
      <c r="D544" s="7"/>
      <c r="E544" s="17"/>
      <c r="F544" s="17"/>
      <c r="G544" s="7"/>
      <c r="H544" s="20" t="n">
        <f aca="false">IF(G544="Card",ROUND((E544+F544)*Settings!$B$8+Settings!$B$9,2),0)</f>
        <v>0</v>
      </c>
      <c r="I544" s="20" t="str">
        <f aca="false">IF(A544="","",E544+F544-H544)</f>
        <v/>
      </c>
      <c r="J544" s="21" t="str">
        <f aca="false">IF(A544="","",MONTH(A544))</f>
        <v/>
      </c>
    </row>
    <row r="545" customFormat="false" ht="15" hidden="false" customHeight="false" outlineLevel="0" collapsed="false">
      <c r="A545" s="19"/>
      <c r="B545" s="7"/>
      <c r="C545" s="7"/>
      <c r="D545" s="7"/>
      <c r="E545" s="17"/>
      <c r="F545" s="17"/>
      <c r="G545" s="7"/>
      <c r="H545" s="20" t="n">
        <f aca="false">IF(G545="Card",ROUND((E545+F545)*Settings!$B$8+Settings!$B$9,2),0)</f>
        <v>0</v>
      </c>
      <c r="I545" s="20" t="str">
        <f aca="false">IF(A545="","",E545+F545-H545)</f>
        <v/>
      </c>
      <c r="J545" s="21" t="str">
        <f aca="false">IF(A545="","",MONTH(A545))</f>
        <v/>
      </c>
    </row>
    <row r="546" customFormat="false" ht="15" hidden="false" customHeight="false" outlineLevel="0" collapsed="false">
      <c r="A546" s="19"/>
      <c r="B546" s="7"/>
      <c r="C546" s="7"/>
      <c r="D546" s="7"/>
      <c r="E546" s="17"/>
      <c r="F546" s="17"/>
      <c r="G546" s="7"/>
      <c r="H546" s="20" t="n">
        <f aca="false">IF(G546="Card",ROUND((E546+F546)*Settings!$B$8+Settings!$B$9,2),0)</f>
        <v>0</v>
      </c>
      <c r="I546" s="20" t="str">
        <f aca="false">IF(A546="","",E546+F546-H546)</f>
        <v/>
      </c>
      <c r="J546" s="21" t="str">
        <f aca="false">IF(A546="","",MONTH(A546))</f>
        <v/>
      </c>
    </row>
    <row r="547" customFormat="false" ht="15" hidden="false" customHeight="false" outlineLevel="0" collapsed="false">
      <c r="A547" s="19"/>
      <c r="B547" s="7"/>
      <c r="C547" s="7"/>
      <c r="D547" s="7"/>
      <c r="E547" s="17"/>
      <c r="F547" s="17"/>
      <c r="G547" s="7"/>
      <c r="H547" s="20" t="n">
        <f aca="false">IF(G547="Card",ROUND((E547+F547)*Settings!$B$8+Settings!$B$9,2),0)</f>
        <v>0</v>
      </c>
      <c r="I547" s="20" t="str">
        <f aca="false">IF(A547="","",E547+F547-H547)</f>
        <v/>
      </c>
      <c r="J547" s="21" t="str">
        <f aca="false">IF(A547="","",MONTH(A547))</f>
        <v/>
      </c>
    </row>
    <row r="548" customFormat="false" ht="15" hidden="false" customHeight="false" outlineLevel="0" collapsed="false">
      <c r="A548" s="19"/>
      <c r="B548" s="7"/>
      <c r="C548" s="7"/>
      <c r="D548" s="7"/>
      <c r="E548" s="17"/>
      <c r="F548" s="17"/>
      <c r="G548" s="7"/>
      <c r="H548" s="20" t="n">
        <f aca="false">IF(G548="Card",ROUND((E548+F548)*Settings!$B$8+Settings!$B$9,2),0)</f>
        <v>0</v>
      </c>
      <c r="I548" s="20" t="str">
        <f aca="false">IF(A548="","",E548+F548-H548)</f>
        <v/>
      </c>
      <c r="J548" s="21" t="str">
        <f aca="false">IF(A548="","",MONTH(A548))</f>
        <v/>
      </c>
    </row>
    <row r="549" customFormat="false" ht="15" hidden="false" customHeight="false" outlineLevel="0" collapsed="false">
      <c r="A549" s="19"/>
      <c r="B549" s="7"/>
      <c r="C549" s="7"/>
      <c r="D549" s="7"/>
      <c r="E549" s="17"/>
      <c r="F549" s="17"/>
      <c r="G549" s="7"/>
      <c r="H549" s="20" t="n">
        <f aca="false">IF(G549="Card",ROUND((E549+F549)*Settings!$B$8+Settings!$B$9,2),0)</f>
        <v>0</v>
      </c>
      <c r="I549" s="20" t="str">
        <f aca="false">IF(A549="","",E549+F549-H549)</f>
        <v/>
      </c>
      <c r="J549" s="21" t="str">
        <f aca="false">IF(A549="","",MONTH(A549))</f>
        <v/>
      </c>
    </row>
    <row r="550" customFormat="false" ht="15" hidden="false" customHeight="false" outlineLevel="0" collapsed="false">
      <c r="A550" s="19"/>
      <c r="B550" s="7"/>
      <c r="C550" s="7"/>
      <c r="D550" s="7"/>
      <c r="E550" s="17"/>
      <c r="F550" s="17"/>
      <c r="G550" s="7"/>
      <c r="H550" s="20" t="n">
        <f aca="false">IF(G550="Card",ROUND((E550+F550)*Settings!$B$8+Settings!$B$9,2),0)</f>
        <v>0</v>
      </c>
      <c r="I550" s="20" t="str">
        <f aca="false">IF(A550="","",E550+F550-H550)</f>
        <v/>
      </c>
      <c r="J550" s="21" t="str">
        <f aca="false">IF(A550="","",MONTH(A550))</f>
        <v/>
      </c>
    </row>
    <row r="551" customFormat="false" ht="15" hidden="false" customHeight="false" outlineLevel="0" collapsed="false">
      <c r="A551" s="19"/>
      <c r="B551" s="7"/>
      <c r="C551" s="7"/>
      <c r="D551" s="7"/>
      <c r="E551" s="17"/>
      <c r="F551" s="17"/>
      <c r="G551" s="7"/>
      <c r="H551" s="20" t="n">
        <f aca="false">IF(G551="Card",ROUND((E551+F551)*Settings!$B$8+Settings!$B$9,2),0)</f>
        <v>0</v>
      </c>
      <c r="I551" s="20" t="str">
        <f aca="false">IF(A551="","",E551+F551-H551)</f>
        <v/>
      </c>
      <c r="J551" s="21" t="str">
        <f aca="false">IF(A551="","",MONTH(A551))</f>
        <v/>
      </c>
    </row>
    <row r="552" customFormat="false" ht="15" hidden="false" customHeight="false" outlineLevel="0" collapsed="false">
      <c r="A552" s="19"/>
      <c r="B552" s="7"/>
      <c r="C552" s="7"/>
      <c r="D552" s="7"/>
      <c r="E552" s="17"/>
      <c r="F552" s="17"/>
      <c r="G552" s="7"/>
      <c r="H552" s="20" t="n">
        <f aca="false">IF(G552="Card",ROUND((E552+F552)*Settings!$B$8+Settings!$B$9,2),0)</f>
        <v>0</v>
      </c>
      <c r="I552" s="20" t="str">
        <f aca="false">IF(A552="","",E552+F552-H552)</f>
        <v/>
      </c>
      <c r="J552" s="21" t="str">
        <f aca="false">IF(A552="","",MONTH(A552))</f>
        <v/>
      </c>
    </row>
    <row r="553" customFormat="false" ht="15" hidden="false" customHeight="false" outlineLevel="0" collapsed="false">
      <c r="A553" s="19"/>
      <c r="B553" s="7"/>
      <c r="C553" s="7"/>
      <c r="D553" s="7"/>
      <c r="E553" s="17"/>
      <c r="F553" s="17"/>
      <c r="G553" s="7"/>
      <c r="H553" s="20" t="n">
        <f aca="false">IF(G553="Card",ROUND((E553+F553)*Settings!$B$8+Settings!$B$9,2),0)</f>
        <v>0</v>
      </c>
      <c r="I553" s="20" t="str">
        <f aca="false">IF(A553="","",E553+F553-H553)</f>
        <v/>
      </c>
      <c r="J553" s="21" t="str">
        <f aca="false">IF(A553="","",MONTH(A553))</f>
        <v/>
      </c>
    </row>
    <row r="554" customFormat="false" ht="15" hidden="false" customHeight="false" outlineLevel="0" collapsed="false">
      <c r="A554" s="19"/>
      <c r="B554" s="7"/>
      <c r="C554" s="7"/>
      <c r="D554" s="7"/>
      <c r="E554" s="17"/>
      <c r="F554" s="17"/>
      <c r="G554" s="7"/>
      <c r="H554" s="20" t="n">
        <f aca="false">IF(G554="Card",ROUND((E554+F554)*Settings!$B$8+Settings!$B$9,2),0)</f>
        <v>0</v>
      </c>
      <c r="I554" s="20" t="str">
        <f aca="false">IF(A554="","",E554+F554-H554)</f>
        <v/>
      </c>
      <c r="J554" s="21" t="str">
        <f aca="false">IF(A554="","",MONTH(A554))</f>
        <v/>
      </c>
    </row>
    <row r="555" customFormat="false" ht="15" hidden="false" customHeight="false" outlineLevel="0" collapsed="false">
      <c r="A555" s="19"/>
      <c r="B555" s="7"/>
      <c r="C555" s="7"/>
      <c r="D555" s="7"/>
      <c r="E555" s="17"/>
      <c r="F555" s="17"/>
      <c r="G555" s="7"/>
      <c r="H555" s="20" t="n">
        <f aca="false">IF(G555="Card",ROUND((E555+F555)*Settings!$B$8+Settings!$B$9,2),0)</f>
        <v>0</v>
      </c>
      <c r="I555" s="20" t="str">
        <f aca="false">IF(A555="","",E555+F555-H555)</f>
        <v/>
      </c>
      <c r="J555" s="21" t="str">
        <f aca="false">IF(A555="","",MONTH(A555))</f>
        <v/>
      </c>
    </row>
    <row r="556" customFormat="false" ht="15" hidden="false" customHeight="false" outlineLevel="0" collapsed="false">
      <c r="A556" s="19"/>
      <c r="B556" s="7"/>
      <c r="C556" s="7"/>
      <c r="D556" s="7"/>
      <c r="E556" s="17"/>
      <c r="F556" s="17"/>
      <c r="G556" s="7"/>
      <c r="H556" s="20" t="n">
        <f aca="false">IF(G556="Card",ROUND((E556+F556)*Settings!$B$8+Settings!$B$9,2),0)</f>
        <v>0</v>
      </c>
      <c r="I556" s="20" t="str">
        <f aca="false">IF(A556="","",E556+F556-H556)</f>
        <v/>
      </c>
      <c r="J556" s="21" t="str">
        <f aca="false">IF(A556="","",MONTH(A556))</f>
        <v/>
      </c>
    </row>
    <row r="557" customFormat="false" ht="15" hidden="false" customHeight="false" outlineLevel="0" collapsed="false">
      <c r="A557" s="19"/>
      <c r="B557" s="7"/>
      <c r="C557" s="7"/>
      <c r="D557" s="7"/>
      <c r="E557" s="17"/>
      <c r="F557" s="17"/>
      <c r="G557" s="7"/>
      <c r="H557" s="20" t="n">
        <f aca="false">IF(G557="Card",ROUND((E557+F557)*Settings!$B$8+Settings!$B$9,2),0)</f>
        <v>0</v>
      </c>
      <c r="I557" s="20" t="str">
        <f aca="false">IF(A557="","",E557+F557-H557)</f>
        <v/>
      </c>
      <c r="J557" s="21" t="str">
        <f aca="false">IF(A557="","",MONTH(A557))</f>
        <v/>
      </c>
    </row>
    <row r="558" customFormat="false" ht="15" hidden="false" customHeight="false" outlineLevel="0" collapsed="false">
      <c r="A558" s="19"/>
      <c r="B558" s="7"/>
      <c r="C558" s="7"/>
      <c r="D558" s="7"/>
      <c r="E558" s="17"/>
      <c r="F558" s="17"/>
      <c r="G558" s="7"/>
      <c r="H558" s="20" t="n">
        <f aca="false">IF(G558="Card",ROUND((E558+F558)*Settings!$B$8+Settings!$B$9,2),0)</f>
        <v>0</v>
      </c>
      <c r="I558" s="20" t="str">
        <f aca="false">IF(A558="","",E558+F558-H558)</f>
        <v/>
      </c>
      <c r="J558" s="21" t="str">
        <f aca="false">IF(A558="","",MONTH(A558))</f>
        <v/>
      </c>
    </row>
    <row r="559" customFormat="false" ht="15" hidden="false" customHeight="false" outlineLevel="0" collapsed="false">
      <c r="A559" s="19"/>
      <c r="B559" s="7"/>
      <c r="C559" s="7"/>
      <c r="D559" s="7"/>
      <c r="E559" s="17"/>
      <c r="F559" s="17"/>
      <c r="G559" s="7"/>
      <c r="H559" s="20" t="n">
        <f aca="false">IF(G559="Card",ROUND((E559+F559)*Settings!$B$8+Settings!$B$9,2),0)</f>
        <v>0</v>
      </c>
      <c r="I559" s="20" t="str">
        <f aca="false">IF(A559="","",E559+F559-H559)</f>
        <v/>
      </c>
      <c r="J559" s="21" t="str">
        <f aca="false">IF(A559="","",MONTH(A559))</f>
        <v/>
      </c>
    </row>
    <row r="560" customFormat="false" ht="15" hidden="false" customHeight="false" outlineLevel="0" collapsed="false">
      <c r="A560" s="19"/>
      <c r="B560" s="7"/>
      <c r="C560" s="7"/>
      <c r="D560" s="7"/>
      <c r="E560" s="17"/>
      <c r="F560" s="17"/>
      <c r="G560" s="7"/>
      <c r="H560" s="20" t="n">
        <f aca="false">IF(G560="Card",ROUND((E560+F560)*Settings!$B$8+Settings!$B$9,2),0)</f>
        <v>0</v>
      </c>
      <c r="I560" s="20" t="str">
        <f aca="false">IF(A560="","",E560+F560-H560)</f>
        <v/>
      </c>
      <c r="J560" s="21" t="str">
        <f aca="false">IF(A560="","",MONTH(A560))</f>
        <v/>
      </c>
    </row>
    <row r="561" customFormat="false" ht="15" hidden="false" customHeight="false" outlineLevel="0" collapsed="false">
      <c r="A561" s="19"/>
      <c r="B561" s="7"/>
      <c r="C561" s="7"/>
      <c r="D561" s="7"/>
      <c r="E561" s="17"/>
      <c r="F561" s="17"/>
      <c r="G561" s="7"/>
      <c r="H561" s="20" t="n">
        <f aca="false">IF(G561="Card",ROUND((E561+F561)*Settings!$B$8+Settings!$B$9,2),0)</f>
        <v>0</v>
      </c>
      <c r="I561" s="20" t="str">
        <f aca="false">IF(A561="","",E561+F561-H561)</f>
        <v/>
      </c>
      <c r="J561" s="21" t="str">
        <f aca="false">IF(A561="","",MONTH(A561))</f>
        <v/>
      </c>
    </row>
    <row r="562" customFormat="false" ht="15" hidden="false" customHeight="false" outlineLevel="0" collapsed="false">
      <c r="A562" s="19"/>
      <c r="B562" s="7"/>
      <c r="C562" s="7"/>
      <c r="D562" s="7"/>
      <c r="E562" s="17"/>
      <c r="F562" s="17"/>
      <c r="G562" s="7"/>
      <c r="H562" s="20" t="n">
        <f aca="false">IF(G562="Card",ROUND((E562+F562)*Settings!$B$8+Settings!$B$9,2),0)</f>
        <v>0</v>
      </c>
      <c r="I562" s="20" t="str">
        <f aca="false">IF(A562="","",E562+F562-H562)</f>
        <v/>
      </c>
      <c r="J562" s="21" t="str">
        <f aca="false">IF(A562="","",MONTH(A562))</f>
        <v/>
      </c>
    </row>
    <row r="563" customFormat="false" ht="15" hidden="false" customHeight="false" outlineLevel="0" collapsed="false">
      <c r="A563" s="19"/>
      <c r="B563" s="7"/>
      <c r="C563" s="7"/>
      <c r="D563" s="7"/>
      <c r="E563" s="17"/>
      <c r="F563" s="17"/>
      <c r="G563" s="7"/>
      <c r="H563" s="20" t="n">
        <f aca="false">IF(G563="Card",ROUND((E563+F563)*Settings!$B$8+Settings!$B$9,2),0)</f>
        <v>0</v>
      </c>
      <c r="I563" s="20" t="str">
        <f aca="false">IF(A563="","",E563+F563-H563)</f>
        <v/>
      </c>
      <c r="J563" s="21" t="str">
        <f aca="false">IF(A563="","",MONTH(A563))</f>
        <v/>
      </c>
    </row>
    <row r="564" customFormat="false" ht="15" hidden="false" customHeight="false" outlineLevel="0" collapsed="false">
      <c r="A564" s="19"/>
      <c r="B564" s="7"/>
      <c r="C564" s="7"/>
      <c r="D564" s="7"/>
      <c r="E564" s="17"/>
      <c r="F564" s="17"/>
      <c r="G564" s="7"/>
      <c r="H564" s="20" t="n">
        <f aca="false">IF(G564="Card",ROUND((E564+F564)*Settings!$B$8+Settings!$B$9,2),0)</f>
        <v>0</v>
      </c>
      <c r="I564" s="20" t="str">
        <f aca="false">IF(A564="","",E564+F564-H564)</f>
        <v/>
      </c>
      <c r="J564" s="21" t="str">
        <f aca="false">IF(A564="","",MONTH(A564))</f>
        <v/>
      </c>
    </row>
    <row r="565" customFormat="false" ht="15" hidden="false" customHeight="false" outlineLevel="0" collapsed="false">
      <c r="A565" s="19"/>
      <c r="B565" s="7"/>
      <c r="C565" s="7"/>
      <c r="D565" s="7"/>
      <c r="E565" s="17"/>
      <c r="F565" s="17"/>
      <c r="G565" s="7"/>
      <c r="H565" s="20" t="n">
        <f aca="false">IF(G565="Card",ROUND((E565+F565)*Settings!$B$8+Settings!$B$9,2),0)</f>
        <v>0</v>
      </c>
      <c r="I565" s="20" t="str">
        <f aca="false">IF(A565="","",E565+F565-H565)</f>
        <v/>
      </c>
      <c r="J565" s="21" t="str">
        <f aca="false">IF(A565="","",MONTH(A565))</f>
        <v/>
      </c>
    </row>
    <row r="566" customFormat="false" ht="15" hidden="false" customHeight="false" outlineLevel="0" collapsed="false">
      <c r="A566" s="19"/>
      <c r="B566" s="7"/>
      <c r="C566" s="7"/>
      <c r="D566" s="7"/>
      <c r="E566" s="17"/>
      <c r="F566" s="17"/>
      <c r="G566" s="7"/>
      <c r="H566" s="20" t="n">
        <f aca="false">IF(G566="Card",ROUND((E566+F566)*Settings!$B$8+Settings!$B$9,2),0)</f>
        <v>0</v>
      </c>
      <c r="I566" s="20" t="str">
        <f aca="false">IF(A566="","",E566+F566-H566)</f>
        <v/>
      </c>
      <c r="J566" s="21" t="str">
        <f aca="false">IF(A566="","",MONTH(A566))</f>
        <v/>
      </c>
    </row>
    <row r="567" customFormat="false" ht="15" hidden="false" customHeight="false" outlineLevel="0" collapsed="false">
      <c r="A567" s="19"/>
      <c r="B567" s="7"/>
      <c r="C567" s="7"/>
      <c r="D567" s="7"/>
      <c r="E567" s="17"/>
      <c r="F567" s="17"/>
      <c r="G567" s="7"/>
      <c r="H567" s="20" t="n">
        <f aca="false">IF(G567="Card",ROUND((E567+F567)*Settings!$B$8+Settings!$B$9,2),0)</f>
        <v>0</v>
      </c>
      <c r="I567" s="20" t="str">
        <f aca="false">IF(A567="","",E567+F567-H567)</f>
        <v/>
      </c>
      <c r="J567" s="21" t="str">
        <f aca="false">IF(A567="","",MONTH(A567))</f>
        <v/>
      </c>
    </row>
    <row r="568" customFormat="false" ht="15" hidden="false" customHeight="false" outlineLevel="0" collapsed="false">
      <c r="A568" s="19"/>
      <c r="B568" s="7"/>
      <c r="C568" s="7"/>
      <c r="D568" s="7"/>
      <c r="E568" s="17"/>
      <c r="F568" s="17"/>
      <c r="G568" s="7"/>
      <c r="H568" s="20" t="n">
        <f aca="false">IF(G568="Card",ROUND((E568+F568)*Settings!$B$8+Settings!$B$9,2),0)</f>
        <v>0</v>
      </c>
      <c r="I568" s="20" t="str">
        <f aca="false">IF(A568="","",E568+F568-H568)</f>
        <v/>
      </c>
      <c r="J568" s="21" t="str">
        <f aca="false">IF(A568="","",MONTH(A568))</f>
        <v/>
      </c>
    </row>
    <row r="569" customFormat="false" ht="15" hidden="false" customHeight="false" outlineLevel="0" collapsed="false">
      <c r="A569" s="19"/>
      <c r="B569" s="7"/>
      <c r="C569" s="7"/>
      <c r="D569" s="7"/>
      <c r="E569" s="17"/>
      <c r="F569" s="17"/>
      <c r="G569" s="7"/>
      <c r="H569" s="20" t="n">
        <f aca="false">IF(G569="Card",ROUND((E569+F569)*Settings!$B$8+Settings!$B$9,2),0)</f>
        <v>0</v>
      </c>
      <c r="I569" s="20" t="str">
        <f aca="false">IF(A569="","",E569+F569-H569)</f>
        <v/>
      </c>
      <c r="J569" s="21" t="str">
        <f aca="false">IF(A569="","",MONTH(A569))</f>
        <v/>
      </c>
    </row>
    <row r="570" customFormat="false" ht="15" hidden="false" customHeight="false" outlineLevel="0" collapsed="false">
      <c r="A570" s="19"/>
      <c r="B570" s="7"/>
      <c r="C570" s="7"/>
      <c r="D570" s="7"/>
      <c r="E570" s="17"/>
      <c r="F570" s="17"/>
      <c r="G570" s="7"/>
      <c r="H570" s="20" t="n">
        <f aca="false">IF(G570="Card",ROUND((E570+F570)*Settings!$B$8+Settings!$B$9,2),0)</f>
        <v>0</v>
      </c>
      <c r="I570" s="20" t="str">
        <f aca="false">IF(A570="","",E570+F570-H570)</f>
        <v/>
      </c>
      <c r="J570" s="21" t="str">
        <f aca="false">IF(A570="","",MONTH(A570))</f>
        <v/>
      </c>
    </row>
    <row r="571" customFormat="false" ht="15" hidden="false" customHeight="false" outlineLevel="0" collapsed="false">
      <c r="A571" s="19"/>
      <c r="B571" s="7"/>
      <c r="C571" s="7"/>
      <c r="D571" s="7"/>
      <c r="E571" s="17"/>
      <c r="F571" s="17"/>
      <c r="G571" s="7"/>
      <c r="H571" s="20" t="n">
        <f aca="false">IF(G571="Card",ROUND((E571+F571)*Settings!$B$8+Settings!$B$9,2),0)</f>
        <v>0</v>
      </c>
      <c r="I571" s="20" t="str">
        <f aca="false">IF(A571="","",E571+F571-H571)</f>
        <v/>
      </c>
      <c r="J571" s="21" t="str">
        <f aca="false">IF(A571="","",MONTH(A571))</f>
        <v/>
      </c>
    </row>
    <row r="572" customFormat="false" ht="15" hidden="false" customHeight="false" outlineLevel="0" collapsed="false">
      <c r="A572" s="19"/>
      <c r="B572" s="7"/>
      <c r="C572" s="7"/>
      <c r="D572" s="7"/>
      <c r="E572" s="17"/>
      <c r="F572" s="17"/>
      <c r="G572" s="7"/>
      <c r="H572" s="20" t="n">
        <f aca="false">IF(G572="Card",ROUND((E572+F572)*Settings!$B$8+Settings!$B$9,2),0)</f>
        <v>0</v>
      </c>
      <c r="I572" s="20" t="str">
        <f aca="false">IF(A572="","",E572+F572-H572)</f>
        <v/>
      </c>
      <c r="J572" s="21" t="str">
        <f aca="false">IF(A572="","",MONTH(A572))</f>
        <v/>
      </c>
    </row>
    <row r="573" customFormat="false" ht="15" hidden="false" customHeight="false" outlineLevel="0" collapsed="false">
      <c r="A573" s="19"/>
      <c r="B573" s="7"/>
      <c r="C573" s="7"/>
      <c r="D573" s="7"/>
      <c r="E573" s="17"/>
      <c r="F573" s="17"/>
      <c r="G573" s="7"/>
      <c r="H573" s="20" t="n">
        <f aca="false">IF(G573="Card",ROUND((E573+F573)*Settings!$B$8+Settings!$B$9,2),0)</f>
        <v>0</v>
      </c>
      <c r="I573" s="20" t="str">
        <f aca="false">IF(A573="","",E573+F573-H573)</f>
        <v/>
      </c>
      <c r="J573" s="21" t="str">
        <f aca="false">IF(A573="","",MONTH(A573))</f>
        <v/>
      </c>
    </row>
    <row r="574" customFormat="false" ht="15" hidden="false" customHeight="false" outlineLevel="0" collapsed="false">
      <c r="A574" s="19"/>
      <c r="B574" s="7"/>
      <c r="C574" s="7"/>
      <c r="D574" s="7"/>
      <c r="E574" s="17"/>
      <c r="F574" s="17"/>
      <c r="G574" s="7"/>
      <c r="H574" s="20" t="n">
        <f aca="false">IF(G574="Card",ROUND((E574+F574)*Settings!$B$8+Settings!$B$9,2),0)</f>
        <v>0</v>
      </c>
      <c r="I574" s="20" t="str">
        <f aca="false">IF(A574="","",E574+F574-H574)</f>
        <v/>
      </c>
      <c r="J574" s="21" t="str">
        <f aca="false">IF(A574="","",MONTH(A574))</f>
        <v/>
      </c>
    </row>
    <row r="575" customFormat="false" ht="15" hidden="false" customHeight="false" outlineLevel="0" collapsed="false">
      <c r="A575" s="19"/>
      <c r="B575" s="7"/>
      <c r="C575" s="7"/>
      <c r="D575" s="7"/>
      <c r="E575" s="17"/>
      <c r="F575" s="17"/>
      <c r="G575" s="7"/>
      <c r="H575" s="20" t="n">
        <f aca="false">IF(G575="Card",ROUND((E575+F575)*Settings!$B$8+Settings!$B$9,2),0)</f>
        <v>0</v>
      </c>
      <c r="I575" s="20" t="str">
        <f aca="false">IF(A575="","",E575+F575-H575)</f>
        <v/>
      </c>
      <c r="J575" s="21" t="str">
        <f aca="false">IF(A575="","",MONTH(A575))</f>
        <v/>
      </c>
    </row>
    <row r="576" customFormat="false" ht="15" hidden="false" customHeight="false" outlineLevel="0" collapsed="false">
      <c r="A576" s="19"/>
      <c r="B576" s="7"/>
      <c r="C576" s="7"/>
      <c r="D576" s="7"/>
      <c r="E576" s="17"/>
      <c r="F576" s="17"/>
      <c r="G576" s="7"/>
      <c r="H576" s="20" t="n">
        <f aca="false">IF(G576="Card",ROUND((E576+F576)*Settings!$B$8+Settings!$B$9,2),0)</f>
        <v>0</v>
      </c>
      <c r="I576" s="20" t="str">
        <f aca="false">IF(A576="","",E576+F576-H576)</f>
        <v/>
      </c>
      <c r="J576" s="21" t="str">
        <f aca="false">IF(A576="","",MONTH(A576))</f>
        <v/>
      </c>
    </row>
    <row r="577" customFormat="false" ht="15" hidden="false" customHeight="false" outlineLevel="0" collapsed="false">
      <c r="A577" s="19"/>
      <c r="B577" s="7"/>
      <c r="C577" s="7"/>
      <c r="D577" s="7"/>
      <c r="E577" s="17"/>
      <c r="F577" s="17"/>
      <c r="G577" s="7"/>
      <c r="H577" s="20" t="n">
        <f aca="false">IF(G577="Card",ROUND((E577+F577)*Settings!$B$8+Settings!$B$9,2),0)</f>
        <v>0</v>
      </c>
      <c r="I577" s="20" t="str">
        <f aca="false">IF(A577="","",E577+F577-H577)</f>
        <v/>
      </c>
      <c r="J577" s="21" t="str">
        <f aca="false">IF(A577="","",MONTH(A577))</f>
        <v/>
      </c>
    </row>
    <row r="578" customFormat="false" ht="15" hidden="false" customHeight="false" outlineLevel="0" collapsed="false">
      <c r="A578" s="19"/>
      <c r="B578" s="7"/>
      <c r="C578" s="7"/>
      <c r="D578" s="7"/>
      <c r="E578" s="17"/>
      <c r="F578" s="17"/>
      <c r="G578" s="7"/>
      <c r="H578" s="20" t="n">
        <f aca="false">IF(G578="Card",ROUND((E578+F578)*Settings!$B$8+Settings!$B$9,2),0)</f>
        <v>0</v>
      </c>
      <c r="I578" s="20" t="str">
        <f aca="false">IF(A578="","",E578+F578-H578)</f>
        <v/>
      </c>
      <c r="J578" s="21" t="str">
        <f aca="false">IF(A578="","",MONTH(A578))</f>
        <v/>
      </c>
    </row>
    <row r="579" customFormat="false" ht="15" hidden="false" customHeight="false" outlineLevel="0" collapsed="false">
      <c r="A579" s="19"/>
      <c r="B579" s="7"/>
      <c r="C579" s="7"/>
      <c r="D579" s="7"/>
      <c r="E579" s="17"/>
      <c r="F579" s="17"/>
      <c r="G579" s="7"/>
      <c r="H579" s="20" t="n">
        <f aca="false">IF(G579="Card",ROUND((E579+F579)*Settings!$B$8+Settings!$B$9,2),0)</f>
        <v>0</v>
      </c>
      <c r="I579" s="20" t="str">
        <f aca="false">IF(A579="","",E579+F579-H579)</f>
        <v/>
      </c>
      <c r="J579" s="21" t="str">
        <f aca="false">IF(A579="","",MONTH(A579))</f>
        <v/>
      </c>
    </row>
    <row r="580" customFormat="false" ht="15" hidden="false" customHeight="false" outlineLevel="0" collapsed="false">
      <c r="A580" s="19"/>
      <c r="B580" s="7"/>
      <c r="C580" s="7"/>
      <c r="D580" s="7"/>
      <c r="E580" s="17"/>
      <c r="F580" s="17"/>
      <c r="G580" s="7"/>
      <c r="H580" s="20" t="n">
        <f aca="false">IF(G580="Card",ROUND((E580+F580)*Settings!$B$8+Settings!$B$9,2),0)</f>
        <v>0</v>
      </c>
      <c r="I580" s="20" t="str">
        <f aca="false">IF(A580="","",E580+F580-H580)</f>
        <v/>
      </c>
      <c r="J580" s="21" t="str">
        <f aca="false">IF(A580="","",MONTH(A580))</f>
        <v/>
      </c>
    </row>
    <row r="581" customFormat="false" ht="15" hidden="false" customHeight="false" outlineLevel="0" collapsed="false">
      <c r="A581" s="19"/>
      <c r="B581" s="7"/>
      <c r="C581" s="7"/>
      <c r="D581" s="7"/>
      <c r="E581" s="17"/>
      <c r="F581" s="17"/>
      <c r="G581" s="7"/>
      <c r="H581" s="20" t="n">
        <f aca="false">IF(G581="Card",ROUND((E581+F581)*Settings!$B$8+Settings!$B$9,2),0)</f>
        <v>0</v>
      </c>
      <c r="I581" s="20" t="str">
        <f aca="false">IF(A581="","",E581+F581-H581)</f>
        <v/>
      </c>
      <c r="J581" s="21" t="str">
        <f aca="false">IF(A581="","",MONTH(A581))</f>
        <v/>
      </c>
    </row>
    <row r="582" customFormat="false" ht="15" hidden="false" customHeight="false" outlineLevel="0" collapsed="false">
      <c r="A582" s="19"/>
      <c r="B582" s="7"/>
      <c r="C582" s="7"/>
      <c r="D582" s="7"/>
      <c r="E582" s="17"/>
      <c r="F582" s="17"/>
      <c r="G582" s="7"/>
      <c r="H582" s="20" t="n">
        <f aca="false">IF(G582="Card",ROUND((E582+F582)*Settings!$B$8+Settings!$B$9,2),0)</f>
        <v>0</v>
      </c>
      <c r="I582" s="20" t="str">
        <f aca="false">IF(A582="","",E582+F582-H582)</f>
        <v/>
      </c>
      <c r="J582" s="21" t="str">
        <f aca="false">IF(A582="","",MONTH(A582))</f>
        <v/>
      </c>
    </row>
    <row r="583" customFormat="false" ht="15" hidden="false" customHeight="false" outlineLevel="0" collapsed="false">
      <c r="A583" s="19"/>
      <c r="B583" s="7"/>
      <c r="C583" s="7"/>
      <c r="D583" s="7"/>
      <c r="E583" s="17"/>
      <c r="F583" s="17"/>
      <c r="G583" s="7"/>
      <c r="H583" s="20" t="n">
        <f aca="false">IF(G583="Card",ROUND((E583+F583)*Settings!$B$8+Settings!$B$9,2),0)</f>
        <v>0</v>
      </c>
      <c r="I583" s="20" t="str">
        <f aca="false">IF(A583="","",E583+F583-H583)</f>
        <v/>
      </c>
      <c r="J583" s="21" t="str">
        <f aca="false">IF(A583="","",MONTH(A583))</f>
        <v/>
      </c>
    </row>
    <row r="584" customFormat="false" ht="15" hidden="false" customHeight="false" outlineLevel="0" collapsed="false">
      <c r="A584" s="19"/>
      <c r="B584" s="7"/>
      <c r="C584" s="7"/>
      <c r="D584" s="7"/>
      <c r="E584" s="17"/>
      <c r="F584" s="17"/>
      <c r="G584" s="7"/>
      <c r="H584" s="20" t="n">
        <f aca="false">IF(G584="Card",ROUND((E584+F584)*Settings!$B$8+Settings!$B$9,2),0)</f>
        <v>0</v>
      </c>
      <c r="I584" s="20" t="str">
        <f aca="false">IF(A584="","",E584+F584-H584)</f>
        <v/>
      </c>
      <c r="J584" s="21" t="str">
        <f aca="false">IF(A584="","",MONTH(A584))</f>
        <v/>
      </c>
    </row>
    <row r="585" customFormat="false" ht="15" hidden="false" customHeight="false" outlineLevel="0" collapsed="false">
      <c r="A585" s="19"/>
      <c r="B585" s="7"/>
      <c r="C585" s="7"/>
      <c r="D585" s="7"/>
      <c r="E585" s="17"/>
      <c r="F585" s="17"/>
      <c r="G585" s="7"/>
      <c r="H585" s="20" t="n">
        <f aca="false">IF(G585="Card",ROUND((E585+F585)*Settings!$B$8+Settings!$B$9,2),0)</f>
        <v>0</v>
      </c>
      <c r="I585" s="20" t="str">
        <f aca="false">IF(A585="","",E585+F585-H585)</f>
        <v/>
      </c>
      <c r="J585" s="21" t="str">
        <f aca="false">IF(A585="","",MONTH(A585))</f>
        <v/>
      </c>
    </row>
    <row r="586" customFormat="false" ht="15" hidden="false" customHeight="false" outlineLevel="0" collapsed="false">
      <c r="A586" s="19"/>
      <c r="B586" s="7"/>
      <c r="C586" s="7"/>
      <c r="D586" s="7"/>
      <c r="E586" s="17"/>
      <c r="F586" s="17"/>
      <c r="G586" s="7"/>
      <c r="H586" s="20" t="n">
        <f aca="false">IF(G586="Card",ROUND((E586+F586)*Settings!$B$8+Settings!$B$9,2),0)</f>
        <v>0</v>
      </c>
      <c r="I586" s="20" t="str">
        <f aca="false">IF(A586="","",E586+F586-H586)</f>
        <v/>
      </c>
      <c r="J586" s="21" t="str">
        <f aca="false">IF(A586="","",MONTH(A586))</f>
        <v/>
      </c>
    </row>
    <row r="587" customFormat="false" ht="15" hidden="false" customHeight="false" outlineLevel="0" collapsed="false">
      <c r="A587" s="19"/>
      <c r="B587" s="7"/>
      <c r="C587" s="7"/>
      <c r="D587" s="7"/>
      <c r="E587" s="17"/>
      <c r="F587" s="17"/>
      <c r="G587" s="7"/>
      <c r="H587" s="20" t="n">
        <f aca="false">IF(G587="Card",ROUND((E587+F587)*Settings!$B$8+Settings!$B$9,2),0)</f>
        <v>0</v>
      </c>
      <c r="I587" s="20" t="str">
        <f aca="false">IF(A587="","",E587+F587-H587)</f>
        <v/>
      </c>
      <c r="J587" s="21" t="str">
        <f aca="false">IF(A587="","",MONTH(A587))</f>
        <v/>
      </c>
    </row>
    <row r="588" customFormat="false" ht="15" hidden="false" customHeight="false" outlineLevel="0" collapsed="false">
      <c r="A588" s="19"/>
      <c r="B588" s="7"/>
      <c r="C588" s="7"/>
      <c r="D588" s="7"/>
      <c r="E588" s="17"/>
      <c r="F588" s="17"/>
      <c r="G588" s="7"/>
      <c r="H588" s="20" t="n">
        <f aca="false">IF(G588="Card",ROUND((E588+F588)*Settings!$B$8+Settings!$B$9,2),0)</f>
        <v>0</v>
      </c>
      <c r="I588" s="20" t="str">
        <f aca="false">IF(A588="","",E588+F588-H588)</f>
        <v/>
      </c>
      <c r="J588" s="21" t="str">
        <f aca="false">IF(A588="","",MONTH(A588))</f>
        <v/>
      </c>
    </row>
    <row r="589" customFormat="false" ht="15" hidden="false" customHeight="false" outlineLevel="0" collapsed="false">
      <c r="A589" s="19"/>
      <c r="B589" s="7"/>
      <c r="C589" s="7"/>
      <c r="D589" s="7"/>
      <c r="E589" s="17"/>
      <c r="F589" s="17"/>
      <c r="G589" s="7"/>
      <c r="H589" s="20" t="n">
        <f aca="false">IF(G589="Card",ROUND((E589+F589)*Settings!$B$8+Settings!$B$9,2),0)</f>
        <v>0</v>
      </c>
      <c r="I589" s="20" t="str">
        <f aca="false">IF(A589="","",E589+F589-H589)</f>
        <v/>
      </c>
      <c r="J589" s="21" t="str">
        <f aca="false">IF(A589="","",MONTH(A589))</f>
        <v/>
      </c>
    </row>
    <row r="590" customFormat="false" ht="15" hidden="false" customHeight="false" outlineLevel="0" collapsed="false">
      <c r="A590" s="19"/>
      <c r="B590" s="7"/>
      <c r="C590" s="7"/>
      <c r="D590" s="7"/>
      <c r="E590" s="17"/>
      <c r="F590" s="17"/>
      <c r="G590" s="7"/>
      <c r="H590" s="20" t="n">
        <f aca="false">IF(G590="Card",ROUND((E590+F590)*Settings!$B$8+Settings!$B$9,2),0)</f>
        <v>0</v>
      </c>
      <c r="I590" s="20" t="str">
        <f aca="false">IF(A590="","",E590+F590-H590)</f>
        <v/>
      </c>
      <c r="J590" s="21" t="str">
        <f aca="false">IF(A590="","",MONTH(A590))</f>
        <v/>
      </c>
    </row>
    <row r="591" customFormat="false" ht="15" hidden="false" customHeight="false" outlineLevel="0" collapsed="false">
      <c r="A591" s="19"/>
      <c r="B591" s="7"/>
      <c r="C591" s="7"/>
      <c r="D591" s="7"/>
      <c r="E591" s="17"/>
      <c r="F591" s="17"/>
      <c r="G591" s="7"/>
      <c r="H591" s="20" t="n">
        <f aca="false">IF(G591="Card",ROUND((E591+F591)*Settings!$B$8+Settings!$B$9,2),0)</f>
        <v>0</v>
      </c>
      <c r="I591" s="20" t="str">
        <f aca="false">IF(A591="","",E591+F591-H591)</f>
        <v/>
      </c>
      <c r="J591" s="21" t="str">
        <f aca="false">IF(A591="","",MONTH(A591))</f>
        <v/>
      </c>
    </row>
    <row r="592" customFormat="false" ht="15" hidden="false" customHeight="false" outlineLevel="0" collapsed="false">
      <c r="A592" s="19"/>
      <c r="B592" s="7"/>
      <c r="C592" s="7"/>
      <c r="D592" s="7"/>
      <c r="E592" s="17"/>
      <c r="F592" s="17"/>
      <c r="G592" s="7"/>
      <c r="H592" s="20" t="n">
        <f aca="false">IF(G592="Card",ROUND((E592+F592)*Settings!$B$8+Settings!$B$9,2),0)</f>
        <v>0</v>
      </c>
      <c r="I592" s="20" t="str">
        <f aca="false">IF(A592="","",E592+F592-H592)</f>
        <v/>
      </c>
      <c r="J592" s="21" t="str">
        <f aca="false">IF(A592="","",MONTH(A592))</f>
        <v/>
      </c>
    </row>
    <row r="593" customFormat="false" ht="15" hidden="false" customHeight="false" outlineLevel="0" collapsed="false">
      <c r="A593" s="19"/>
      <c r="B593" s="7"/>
      <c r="C593" s="7"/>
      <c r="D593" s="7"/>
      <c r="E593" s="17"/>
      <c r="F593" s="17"/>
      <c r="G593" s="7"/>
      <c r="H593" s="20" t="n">
        <f aca="false">IF(G593="Card",ROUND((E593+F593)*Settings!$B$8+Settings!$B$9,2),0)</f>
        <v>0</v>
      </c>
      <c r="I593" s="20" t="str">
        <f aca="false">IF(A593="","",E593+F593-H593)</f>
        <v/>
      </c>
      <c r="J593" s="21" t="str">
        <f aca="false">IF(A593="","",MONTH(A593))</f>
        <v/>
      </c>
    </row>
    <row r="594" customFormat="false" ht="15" hidden="false" customHeight="false" outlineLevel="0" collapsed="false">
      <c r="A594" s="19"/>
      <c r="B594" s="7"/>
      <c r="C594" s="7"/>
      <c r="D594" s="7"/>
      <c r="E594" s="17"/>
      <c r="F594" s="17"/>
      <c r="G594" s="7"/>
      <c r="H594" s="20" t="n">
        <f aca="false">IF(G594="Card",ROUND((E594+F594)*Settings!$B$8+Settings!$B$9,2),0)</f>
        <v>0</v>
      </c>
      <c r="I594" s="20" t="str">
        <f aca="false">IF(A594="","",E594+F594-H594)</f>
        <v/>
      </c>
      <c r="J594" s="21" t="str">
        <f aca="false">IF(A594="","",MONTH(A594))</f>
        <v/>
      </c>
    </row>
    <row r="595" customFormat="false" ht="15" hidden="false" customHeight="false" outlineLevel="0" collapsed="false">
      <c r="A595" s="19"/>
      <c r="B595" s="7"/>
      <c r="C595" s="7"/>
      <c r="D595" s="7"/>
      <c r="E595" s="17"/>
      <c r="F595" s="17"/>
      <c r="G595" s="7"/>
      <c r="H595" s="20" t="n">
        <f aca="false">IF(G595="Card",ROUND((E595+F595)*Settings!$B$8+Settings!$B$9,2),0)</f>
        <v>0</v>
      </c>
      <c r="I595" s="20" t="str">
        <f aca="false">IF(A595="","",E595+F595-H595)</f>
        <v/>
      </c>
      <c r="J595" s="21" t="str">
        <f aca="false">IF(A595="","",MONTH(A595))</f>
        <v/>
      </c>
    </row>
    <row r="596" customFormat="false" ht="15" hidden="false" customHeight="false" outlineLevel="0" collapsed="false">
      <c r="A596" s="19"/>
      <c r="B596" s="7"/>
      <c r="C596" s="7"/>
      <c r="D596" s="7"/>
      <c r="E596" s="17"/>
      <c r="F596" s="17"/>
      <c r="G596" s="7"/>
      <c r="H596" s="20" t="n">
        <f aca="false">IF(G596="Card",ROUND((E596+F596)*Settings!$B$8+Settings!$B$9,2),0)</f>
        <v>0</v>
      </c>
      <c r="I596" s="20" t="str">
        <f aca="false">IF(A596="","",E596+F596-H596)</f>
        <v/>
      </c>
      <c r="J596" s="21" t="str">
        <f aca="false">IF(A596="","",MONTH(A596))</f>
        <v/>
      </c>
    </row>
    <row r="597" customFormat="false" ht="15" hidden="false" customHeight="false" outlineLevel="0" collapsed="false">
      <c r="A597" s="19"/>
      <c r="B597" s="7"/>
      <c r="C597" s="7"/>
      <c r="D597" s="7"/>
      <c r="E597" s="17"/>
      <c r="F597" s="17"/>
      <c r="G597" s="7"/>
      <c r="H597" s="20" t="n">
        <f aca="false">IF(G597="Card",ROUND((E597+F597)*Settings!$B$8+Settings!$B$9,2),0)</f>
        <v>0</v>
      </c>
      <c r="I597" s="20" t="str">
        <f aca="false">IF(A597="","",E597+F597-H597)</f>
        <v/>
      </c>
      <c r="J597" s="21" t="str">
        <f aca="false">IF(A597="","",MONTH(A597))</f>
        <v/>
      </c>
    </row>
    <row r="598" customFormat="false" ht="15" hidden="false" customHeight="false" outlineLevel="0" collapsed="false">
      <c r="A598" s="19"/>
      <c r="B598" s="7"/>
      <c r="C598" s="7"/>
      <c r="D598" s="7"/>
      <c r="E598" s="17"/>
      <c r="F598" s="17"/>
      <c r="G598" s="7"/>
      <c r="H598" s="20" t="n">
        <f aca="false">IF(G598="Card",ROUND((E598+F598)*Settings!$B$8+Settings!$B$9,2),0)</f>
        <v>0</v>
      </c>
      <c r="I598" s="20" t="str">
        <f aca="false">IF(A598="","",E598+F598-H598)</f>
        <v/>
      </c>
      <c r="J598" s="21" t="str">
        <f aca="false">IF(A598="","",MONTH(A598))</f>
        <v/>
      </c>
    </row>
    <row r="599" customFormat="false" ht="15" hidden="false" customHeight="false" outlineLevel="0" collapsed="false">
      <c r="A599" s="19"/>
      <c r="B599" s="7"/>
      <c r="C599" s="7"/>
      <c r="D599" s="7"/>
      <c r="E599" s="17"/>
      <c r="F599" s="17"/>
      <c r="G599" s="7"/>
      <c r="H599" s="20" t="n">
        <f aca="false">IF(G599="Card",ROUND((E599+F599)*Settings!$B$8+Settings!$B$9,2),0)</f>
        <v>0</v>
      </c>
      <c r="I599" s="20" t="str">
        <f aca="false">IF(A599="","",E599+F599-H599)</f>
        <v/>
      </c>
      <c r="J599" s="21" t="str">
        <f aca="false">IF(A599="","",MONTH(A599))</f>
        <v/>
      </c>
    </row>
    <row r="600" customFormat="false" ht="15" hidden="false" customHeight="false" outlineLevel="0" collapsed="false">
      <c r="A600" s="19"/>
      <c r="B600" s="7"/>
      <c r="C600" s="7"/>
      <c r="D600" s="7"/>
      <c r="E600" s="17"/>
      <c r="F600" s="17"/>
      <c r="G600" s="7"/>
      <c r="H600" s="20" t="n">
        <f aca="false">IF(G600="Card",ROUND((E600+F600)*Settings!$B$8+Settings!$B$9,2),0)</f>
        <v>0</v>
      </c>
      <c r="I600" s="20" t="str">
        <f aca="false">IF(A600="","",E600+F600-H600)</f>
        <v/>
      </c>
      <c r="J600" s="21" t="str">
        <f aca="false">IF(A600="","",MONTH(A600))</f>
        <v/>
      </c>
    </row>
    <row r="601" customFormat="false" ht="15" hidden="false" customHeight="false" outlineLevel="0" collapsed="false">
      <c r="A601" s="19"/>
      <c r="B601" s="7"/>
      <c r="C601" s="7"/>
      <c r="D601" s="7"/>
      <c r="E601" s="17"/>
      <c r="F601" s="17"/>
      <c r="G601" s="7"/>
      <c r="H601" s="20" t="n">
        <f aca="false">IF(G601="Card",ROUND((E601+F601)*Settings!$B$8+Settings!$B$9,2),0)</f>
        <v>0</v>
      </c>
      <c r="I601" s="20" t="str">
        <f aca="false">IF(A601="","",E601+F601-H601)</f>
        <v/>
      </c>
      <c r="J601" s="21" t="str">
        <f aca="false">IF(A601="","",MONTH(A601))</f>
        <v/>
      </c>
    </row>
    <row r="602" customFormat="false" ht="15" hidden="false" customHeight="false" outlineLevel="0" collapsed="false">
      <c r="A602" s="19"/>
      <c r="B602" s="7"/>
      <c r="C602" s="7"/>
      <c r="D602" s="7"/>
      <c r="E602" s="17"/>
      <c r="F602" s="17"/>
      <c r="G602" s="7"/>
      <c r="H602" s="20" t="n">
        <f aca="false">IF(G602="Card",ROUND((E602+F602)*Settings!$B$8+Settings!$B$9,2),0)</f>
        <v>0</v>
      </c>
      <c r="I602" s="20" t="str">
        <f aca="false">IF(A602="","",E602+F602-H602)</f>
        <v/>
      </c>
      <c r="J602" s="21" t="str">
        <f aca="false">IF(A602="","",MONTH(A602))</f>
        <v/>
      </c>
    </row>
    <row r="603" customFormat="false" ht="15" hidden="false" customHeight="false" outlineLevel="0" collapsed="false">
      <c r="A603" s="19"/>
      <c r="B603" s="7"/>
      <c r="C603" s="7"/>
      <c r="D603" s="7"/>
      <c r="E603" s="17"/>
      <c r="F603" s="17"/>
      <c r="G603" s="7"/>
      <c r="H603" s="20" t="n">
        <f aca="false">IF(G603="Card",ROUND((E603+F603)*Settings!$B$8+Settings!$B$9,2),0)</f>
        <v>0</v>
      </c>
      <c r="I603" s="20" t="str">
        <f aca="false">IF(A603="","",E603+F603-H603)</f>
        <v/>
      </c>
      <c r="J603" s="21" t="str">
        <f aca="false">IF(A603="","",MONTH(A603))</f>
        <v/>
      </c>
    </row>
    <row r="604" customFormat="false" ht="15" hidden="false" customHeight="false" outlineLevel="0" collapsed="false">
      <c r="A604" s="19"/>
      <c r="B604" s="7"/>
      <c r="C604" s="7"/>
      <c r="D604" s="7"/>
      <c r="E604" s="17"/>
      <c r="F604" s="17"/>
      <c r="G604" s="7"/>
      <c r="H604" s="20" t="n">
        <f aca="false">IF(G604="Card",ROUND((E604+F604)*Settings!$B$8+Settings!$B$9,2),0)</f>
        <v>0</v>
      </c>
      <c r="I604" s="20" t="str">
        <f aca="false">IF(A604="","",E604+F604-H604)</f>
        <v/>
      </c>
      <c r="J604" s="21" t="str">
        <f aca="false">IF(A604="","",MONTH(A604))</f>
        <v/>
      </c>
    </row>
    <row r="605" customFormat="false" ht="15" hidden="false" customHeight="false" outlineLevel="0" collapsed="false">
      <c r="A605" s="19"/>
      <c r="B605" s="7"/>
      <c r="C605" s="7"/>
      <c r="D605" s="7"/>
      <c r="E605" s="17"/>
      <c r="F605" s="17"/>
      <c r="G605" s="7"/>
      <c r="H605" s="20" t="n">
        <f aca="false">IF(G605="Card",ROUND((E605+F605)*Settings!$B$8+Settings!$B$9,2),0)</f>
        <v>0</v>
      </c>
      <c r="I605" s="20" t="str">
        <f aca="false">IF(A605="","",E605+F605-H605)</f>
        <v/>
      </c>
      <c r="J605" s="21" t="str">
        <f aca="false">IF(A605="","",MONTH(A605))</f>
        <v/>
      </c>
    </row>
  </sheetData>
  <dataValidations count="2">
    <dataValidation allowBlank="true" errorStyle="stop" operator="between" showDropDown="false" showErrorMessage="false" showInputMessage="false" sqref="D6:D605" type="list">
      <formula1>Settings!$A$12:$A$19</formula1>
      <formula2>0</formula2>
    </dataValidation>
    <dataValidation allowBlank="true" errorStyle="stop" operator="between" showDropDown="false" showErrorMessage="false" showInputMessage="false" sqref="G6:G605" type="list">
      <formula1>Settings!$F$12:$F$16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H6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8"/>
  </cols>
  <sheetData>
    <row r="1" customFormat="false" ht="25.5" hidden="false" customHeight="tru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15" t="s">
        <v>81</v>
      </c>
    </row>
    <row r="5" customFormat="false" ht="15" hidden="false" customHeight="false" outlineLevel="0" collapsed="false">
      <c r="A5" s="3" t="s">
        <v>67</v>
      </c>
      <c r="B5" s="3" t="s">
        <v>82</v>
      </c>
      <c r="C5" s="3" t="s">
        <v>69</v>
      </c>
      <c r="D5" s="3" t="s">
        <v>70</v>
      </c>
      <c r="E5" s="3" t="s">
        <v>71</v>
      </c>
      <c r="F5" s="3" t="s">
        <v>73</v>
      </c>
      <c r="G5" s="3" t="s">
        <v>83</v>
      </c>
      <c r="H5" s="3" t="s">
        <v>76</v>
      </c>
    </row>
    <row r="6" customFormat="false" ht="15" hidden="false" customHeight="false" outlineLevel="0" collapsed="false">
      <c r="A6" s="19" t="n">
        <v>46024</v>
      </c>
      <c r="B6" s="7" t="s">
        <v>84</v>
      </c>
      <c r="C6" s="7" t="s">
        <v>85</v>
      </c>
      <c r="D6" s="7" t="s">
        <v>42</v>
      </c>
      <c r="E6" s="17" t="n">
        <v>86.4</v>
      </c>
      <c r="F6" s="7" t="s">
        <v>40</v>
      </c>
      <c r="G6" s="7" t="s">
        <v>86</v>
      </c>
      <c r="H6" s="21" t="n">
        <f aca="false">IF(A6="","",MONTH(A6))</f>
        <v>1</v>
      </c>
    </row>
    <row r="7" customFormat="false" ht="15" hidden="false" customHeight="false" outlineLevel="0" collapsed="false">
      <c r="A7" s="19"/>
      <c r="B7" s="7"/>
      <c r="C7" s="7"/>
      <c r="D7" s="7"/>
      <c r="E7" s="17"/>
      <c r="F7" s="7"/>
      <c r="G7" s="7"/>
      <c r="H7" s="21" t="str">
        <f aca="false">IF(A7="","",MONTH(A7))</f>
        <v/>
      </c>
    </row>
    <row r="8" customFormat="false" ht="15" hidden="false" customHeight="false" outlineLevel="0" collapsed="false">
      <c r="A8" s="19"/>
      <c r="B8" s="7"/>
      <c r="C8" s="7"/>
      <c r="D8" s="7"/>
      <c r="E8" s="17"/>
      <c r="F8" s="7"/>
      <c r="G8" s="7"/>
      <c r="H8" s="21" t="str">
        <f aca="false">IF(A8="","",MONTH(A8))</f>
        <v/>
      </c>
    </row>
    <row r="9" customFormat="false" ht="15" hidden="false" customHeight="false" outlineLevel="0" collapsed="false">
      <c r="A9" s="19"/>
      <c r="B9" s="7"/>
      <c r="C9" s="7"/>
      <c r="D9" s="7"/>
      <c r="E9" s="17"/>
      <c r="F9" s="7"/>
      <c r="G9" s="7"/>
      <c r="H9" s="21" t="str">
        <f aca="false">IF(A9="","",MONTH(A9))</f>
        <v/>
      </c>
    </row>
    <row r="10" customFormat="false" ht="15" hidden="false" customHeight="false" outlineLevel="0" collapsed="false">
      <c r="A10" s="19"/>
      <c r="B10" s="7"/>
      <c r="C10" s="7"/>
      <c r="D10" s="7"/>
      <c r="E10" s="17"/>
      <c r="F10" s="7"/>
      <c r="G10" s="7"/>
      <c r="H10" s="21" t="str">
        <f aca="false">IF(A10="","",MONTH(A10))</f>
        <v/>
      </c>
    </row>
    <row r="11" customFormat="false" ht="15" hidden="false" customHeight="false" outlineLevel="0" collapsed="false">
      <c r="A11" s="19"/>
      <c r="B11" s="7"/>
      <c r="C11" s="7"/>
      <c r="D11" s="7"/>
      <c r="E11" s="17"/>
      <c r="F11" s="7"/>
      <c r="G11" s="7"/>
      <c r="H11" s="21" t="str">
        <f aca="false">IF(A11="","",MONTH(A11))</f>
        <v/>
      </c>
    </row>
    <row r="12" customFormat="false" ht="15" hidden="false" customHeight="false" outlineLevel="0" collapsed="false">
      <c r="A12" s="19"/>
      <c r="B12" s="7"/>
      <c r="C12" s="7"/>
      <c r="D12" s="7"/>
      <c r="E12" s="17"/>
      <c r="F12" s="7"/>
      <c r="G12" s="7"/>
      <c r="H12" s="21" t="str">
        <f aca="false">IF(A12="","",MONTH(A12))</f>
        <v/>
      </c>
    </row>
    <row r="13" customFormat="false" ht="15" hidden="false" customHeight="false" outlineLevel="0" collapsed="false">
      <c r="A13" s="19"/>
      <c r="B13" s="7"/>
      <c r="C13" s="7"/>
      <c r="D13" s="7"/>
      <c r="E13" s="17"/>
      <c r="F13" s="7"/>
      <c r="G13" s="7"/>
      <c r="H13" s="21" t="str">
        <f aca="false">IF(A13="","",MONTH(A13))</f>
        <v/>
      </c>
    </row>
    <row r="14" customFormat="false" ht="15" hidden="false" customHeight="false" outlineLevel="0" collapsed="false">
      <c r="A14" s="19"/>
      <c r="B14" s="7"/>
      <c r="C14" s="7"/>
      <c r="D14" s="7"/>
      <c r="E14" s="17"/>
      <c r="F14" s="7"/>
      <c r="G14" s="7"/>
      <c r="H14" s="21" t="str">
        <f aca="false">IF(A14="","",MONTH(A14))</f>
        <v/>
      </c>
    </row>
    <row r="15" customFormat="false" ht="15" hidden="false" customHeight="false" outlineLevel="0" collapsed="false">
      <c r="A15" s="19"/>
      <c r="B15" s="7"/>
      <c r="C15" s="7"/>
      <c r="D15" s="7"/>
      <c r="E15" s="17"/>
      <c r="F15" s="7"/>
      <c r="G15" s="7"/>
      <c r="H15" s="21" t="str">
        <f aca="false">IF(A15="","",MONTH(A15))</f>
        <v/>
      </c>
    </row>
    <row r="16" customFormat="false" ht="15" hidden="false" customHeight="false" outlineLevel="0" collapsed="false">
      <c r="A16" s="19"/>
      <c r="B16" s="7"/>
      <c r="C16" s="7"/>
      <c r="D16" s="7"/>
      <c r="E16" s="17"/>
      <c r="F16" s="7"/>
      <c r="G16" s="7"/>
      <c r="H16" s="21" t="str">
        <f aca="false">IF(A16="","",MONTH(A16))</f>
        <v/>
      </c>
    </row>
    <row r="17" customFormat="false" ht="15" hidden="false" customHeight="false" outlineLevel="0" collapsed="false">
      <c r="A17" s="19"/>
      <c r="B17" s="7"/>
      <c r="C17" s="7"/>
      <c r="D17" s="7"/>
      <c r="E17" s="17"/>
      <c r="F17" s="7"/>
      <c r="G17" s="7"/>
      <c r="H17" s="21" t="str">
        <f aca="false">IF(A17="","",MONTH(A17))</f>
        <v/>
      </c>
    </row>
    <row r="18" customFormat="false" ht="15" hidden="false" customHeight="false" outlineLevel="0" collapsed="false">
      <c r="A18" s="19"/>
      <c r="B18" s="7"/>
      <c r="C18" s="7"/>
      <c r="D18" s="7"/>
      <c r="E18" s="17"/>
      <c r="F18" s="7"/>
      <c r="G18" s="7"/>
      <c r="H18" s="21" t="str">
        <f aca="false">IF(A18="","",MONTH(A18))</f>
        <v/>
      </c>
    </row>
    <row r="19" customFormat="false" ht="15" hidden="false" customHeight="false" outlineLevel="0" collapsed="false">
      <c r="A19" s="19"/>
      <c r="B19" s="7"/>
      <c r="C19" s="7"/>
      <c r="D19" s="7"/>
      <c r="E19" s="17"/>
      <c r="F19" s="7"/>
      <c r="G19" s="7"/>
      <c r="H19" s="21" t="str">
        <f aca="false">IF(A19="","",MONTH(A19))</f>
        <v/>
      </c>
    </row>
    <row r="20" customFormat="false" ht="15" hidden="false" customHeight="false" outlineLevel="0" collapsed="false">
      <c r="A20" s="19"/>
      <c r="B20" s="7"/>
      <c r="C20" s="7"/>
      <c r="D20" s="7"/>
      <c r="E20" s="17"/>
      <c r="F20" s="7"/>
      <c r="G20" s="7"/>
      <c r="H20" s="21" t="str">
        <f aca="false">IF(A20="","",MONTH(A20))</f>
        <v/>
      </c>
    </row>
    <row r="21" customFormat="false" ht="15" hidden="false" customHeight="false" outlineLevel="0" collapsed="false">
      <c r="A21" s="19"/>
      <c r="B21" s="7"/>
      <c r="C21" s="7"/>
      <c r="D21" s="7"/>
      <c r="E21" s="17"/>
      <c r="F21" s="7"/>
      <c r="G21" s="7"/>
      <c r="H21" s="21" t="str">
        <f aca="false">IF(A21="","",MONTH(A21))</f>
        <v/>
      </c>
    </row>
    <row r="22" customFormat="false" ht="15" hidden="false" customHeight="false" outlineLevel="0" collapsed="false">
      <c r="A22" s="19"/>
      <c r="B22" s="7"/>
      <c r="C22" s="7"/>
      <c r="D22" s="7"/>
      <c r="E22" s="17"/>
      <c r="F22" s="7"/>
      <c r="G22" s="7"/>
      <c r="H22" s="21" t="str">
        <f aca="false">IF(A22="","",MONTH(A22))</f>
        <v/>
      </c>
    </row>
    <row r="23" customFormat="false" ht="15" hidden="false" customHeight="false" outlineLevel="0" collapsed="false">
      <c r="A23" s="19"/>
      <c r="B23" s="7"/>
      <c r="C23" s="7"/>
      <c r="D23" s="7"/>
      <c r="E23" s="17"/>
      <c r="F23" s="7"/>
      <c r="G23" s="7"/>
      <c r="H23" s="21" t="str">
        <f aca="false">IF(A23="","",MONTH(A23))</f>
        <v/>
      </c>
    </row>
    <row r="24" customFormat="false" ht="15" hidden="false" customHeight="false" outlineLevel="0" collapsed="false">
      <c r="A24" s="19"/>
      <c r="B24" s="7"/>
      <c r="C24" s="7"/>
      <c r="D24" s="7"/>
      <c r="E24" s="17"/>
      <c r="F24" s="7"/>
      <c r="G24" s="7"/>
      <c r="H24" s="21" t="str">
        <f aca="false">IF(A24="","",MONTH(A24))</f>
        <v/>
      </c>
    </row>
    <row r="25" customFormat="false" ht="15" hidden="false" customHeight="false" outlineLevel="0" collapsed="false">
      <c r="A25" s="19"/>
      <c r="B25" s="7"/>
      <c r="C25" s="7"/>
      <c r="D25" s="7"/>
      <c r="E25" s="17"/>
      <c r="F25" s="7"/>
      <c r="G25" s="7"/>
      <c r="H25" s="21" t="str">
        <f aca="false">IF(A25="","",MONTH(A25))</f>
        <v/>
      </c>
    </row>
    <row r="26" customFormat="false" ht="15" hidden="false" customHeight="false" outlineLevel="0" collapsed="false">
      <c r="A26" s="19"/>
      <c r="B26" s="7"/>
      <c r="C26" s="7"/>
      <c r="D26" s="7"/>
      <c r="E26" s="17"/>
      <c r="F26" s="7"/>
      <c r="G26" s="7"/>
      <c r="H26" s="21" t="str">
        <f aca="false">IF(A26="","",MONTH(A26))</f>
        <v/>
      </c>
    </row>
    <row r="27" customFormat="false" ht="15" hidden="false" customHeight="false" outlineLevel="0" collapsed="false">
      <c r="A27" s="19"/>
      <c r="B27" s="7"/>
      <c r="C27" s="7"/>
      <c r="D27" s="7"/>
      <c r="E27" s="17"/>
      <c r="F27" s="7"/>
      <c r="G27" s="7"/>
      <c r="H27" s="21" t="str">
        <f aca="false">IF(A27="","",MONTH(A27))</f>
        <v/>
      </c>
    </row>
    <row r="28" customFormat="false" ht="15" hidden="false" customHeight="false" outlineLevel="0" collapsed="false">
      <c r="A28" s="19"/>
      <c r="B28" s="7"/>
      <c r="C28" s="7"/>
      <c r="D28" s="7"/>
      <c r="E28" s="17"/>
      <c r="F28" s="7"/>
      <c r="G28" s="7"/>
      <c r="H28" s="21" t="str">
        <f aca="false">IF(A28="","",MONTH(A28))</f>
        <v/>
      </c>
    </row>
    <row r="29" customFormat="false" ht="15" hidden="false" customHeight="false" outlineLevel="0" collapsed="false">
      <c r="A29" s="19"/>
      <c r="B29" s="7"/>
      <c r="C29" s="7"/>
      <c r="D29" s="7"/>
      <c r="E29" s="17"/>
      <c r="F29" s="7"/>
      <c r="G29" s="7"/>
      <c r="H29" s="21" t="str">
        <f aca="false">IF(A29="","",MONTH(A29))</f>
        <v/>
      </c>
    </row>
    <row r="30" customFormat="false" ht="15" hidden="false" customHeight="false" outlineLevel="0" collapsed="false">
      <c r="A30" s="19"/>
      <c r="B30" s="7"/>
      <c r="C30" s="7"/>
      <c r="D30" s="7"/>
      <c r="E30" s="17"/>
      <c r="F30" s="7"/>
      <c r="G30" s="7"/>
      <c r="H30" s="21" t="str">
        <f aca="false">IF(A30="","",MONTH(A30))</f>
        <v/>
      </c>
    </row>
    <row r="31" customFormat="false" ht="15" hidden="false" customHeight="false" outlineLevel="0" collapsed="false">
      <c r="A31" s="19"/>
      <c r="B31" s="7"/>
      <c r="C31" s="7"/>
      <c r="D31" s="7"/>
      <c r="E31" s="17"/>
      <c r="F31" s="7"/>
      <c r="G31" s="7"/>
      <c r="H31" s="21" t="str">
        <f aca="false">IF(A31="","",MONTH(A31))</f>
        <v/>
      </c>
    </row>
    <row r="32" customFormat="false" ht="15" hidden="false" customHeight="false" outlineLevel="0" collapsed="false">
      <c r="A32" s="19"/>
      <c r="B32" s="7"/>
      <c r="C32" s="7"/>
      <c r="D32" s="7"/>
      <c r="E32" s="17"/>
      <c r="F32" s="7"/>
      <c r="G32" s="7"/>
      <c r="H32" s="21" t="str">
        <f aca="false">IF(A32="","",MONTH(A32))</f>
        <v/>
      </c>
    </row>
    <row r="33" customFormat="false" ht="15" hidden="false" customHeight="false" outlineLevel="0" collapsed="false">
      <c r="A33" s="19"/>
      <c r="B33" s="7"/>
      <c r="C33" s="7"/>
      <c r="D33" s="7"/>
      <c r="E33" s="17"/>
      <c r="F33" s="7"/>
      <c r="G33" s="7"/>
      <c r="H33" s="21" t="str">
        <f aca="false">IF(A33="","",MONTH(A33))</f>
        <v/>
      </c>
    </row>
    <row r="34" customFormat="false" ht="15" hidden="false" customHeight="false" outlineLevel="0" collapsed="false">
      <c r="A34" s="19"/>
      <c r="B34" s="7"/>
      <c r="C34" s="7"/>
      <c r="D34" s="7"/>
      <c r="E34" s="17"/>
      <c r="F34" s="7"/>
      <c r="G34" s="7"/>
      <c r="H34" s="21" t="str">
        <f aca="false">IF(A34="","",MONTH(A34))</f>
        <v/>
      </c>
    </row>
    <row r="35" customFormat="false" ht="15" hidden="false" customHeight="false" outlineLevel="0" collapsed="false">
      <c r="A35" s="19"/>
      <c r="B35" s="7"/>
      <c r="C35" s="7"/>
      <c r="D35" s="7"/>
      <c r="E35" s="17"/>
      <c r="F35" s="7"/>
      <c r="G35" s="7"/>
      <c r="H35" s="21" t="str">
        <f aca="false">IF(A35="","",MONTH(A35))</f>
        <v/>
      </c>
    </row>
    <row r="36" customFormat="false" ht="15" hidden="false" customHeight="false" outlineLevel="0" collapsed="false">
      <c r="A36" s="19"/>
      <c r="B36" s="7"/>
      <c r="C36" s="7"/>
      <c r="D36" s="7"/>
      <c r="E36" s="17"/>
      <c r="F36" s="7"/>
      <c r="G36" s="7"/>
      <c r="H36" s="21" t="str">
        <f aca="false">IF(A36="","",MONTH(A36))</f>
        <v/>
      </c>
    </row>
    <row r="37" customFormat="false" ht="15" hidden="false" customHeight="false" outlineLevel="0" collapsed="false">
      <c r="A37" s="19"/>
      <c r="B37" s="7"/>
      <c r="C37" s="7"/>
      <c r="D37" s="7"/>
      <c r="E37" s="17"/>
      <c r="F37" s="7"/>
      <c r="G37" s="7"/>
      <c r="H37" s="21" t="str">
        <f aca="false">IF(A37="","",MONTH(A37))</f>
        <v/>
      </c>
    </row>
    <row r="38" customFormat="false" ht="15" hidden="false" customHeight="false" outlineLevel="0" collapsed="false">
      <c r="A38" s="19"/>
      <c r="B38" s="7"/>
      <c r="C38" s="7"/>
      <c r="D38" s="7"/>
      <c r="E38" s="17"/>
      <c r="F38" s="7"/>
      <c r="G38" s="7"/>
      <c r="H38" s="21" t="str">
        <f aca="false">IF(A38="","",MONTH(A38))</f>
        <v/>
      </c>
    </row>
    <row r="39" customFormat="false" ht="15" hidden="false" customHeight="false" outlineLevel="0" collapsed="false">
      <c r="A39" s="19"/>
      <c r="B39" s="7"/>
      <c r="C39" s="7"/>
      <c r="D39" s="7"/>
      <c r="E39" s="17"/>
      <c r="F39" s="7"/>
      <c r="G39" s="7"/>
      <c r="H39" s="21" t="str">
        <f aca="false">IF(A39="","",MONTH(A39))</f>
        <v/>
      </c>
    </row>
    <row r="40" customFormat="false" ht="15" hidden="false" customHeight="false" outlineLevel="0" collapsed="false">
      <c r="A40" s="19"/>
      <c r="B40" s="7"/>
      <c r="C40" s="7"/>
      <c r="D40" s="7"/>
      <c r="E40" s="17"/>
      <c r="F40" s="7"/>
      <c r="G40" s="7"/>
      <c r="H40" s="21" t="str">
        <f aca="false">IF(A40="","",MONTH(A40))</f>
        <v/>
      </c>
    </row>
    <row r="41" customFormat="false" ht="15" hidden="false" customHeight="false" outlineLevel="0" collapsed="false">
      <c r="A41" s="19"/>
      <c r="B41" s="7"/>
      <c r="C41" s="7"/>
      <c r="D41" s="7"/>
      <c r="E41" s="17"/>
      <c r="F41" s="7"/>
      <c r="G41" s="7"/>
      <c r="H41" s="21" t="str">
        <f aca="false">IF(A41="","",MONTH(A41))</f>
        <v/>
      </c>
    </row>
    <row r="42" customFormat="false" ht="15" hidden="false" customHeight="false" outlineLevel="0" collapsed="false">
      <c r="A42" s="19"/>
      <c r="B42" s="7"/>
      <c r="C42" s="7"/>
      <c r="D42" s="7"/>
      <c r="E42" s="17"/>
      <c r="F42" s="7"/>
      <c r="G42" s="7"/>
      <c r="H42" s="21" t="str">
        <f aca="false">IF(A42="","",MONTH(A42))</f>
        <v/>
      </c>
    </row>
    <row r="43" customFormat="false" ht="15" hidden="false" customHeight="false" outlineLevel="0" collapsed="false">
      <c r="A43" s="19"/>
      <c r="B43" s="7"/>
      <c r="C43" s="7"/>
      <c r="D43" s="7"/>
      <c r="E43" s="17"/>
      <c r="F43" s="7"/>
      <c r="G43" s="7"/>
      <c r="H43" s="21" t="str">
        <f aca="false">IF(A43="","",MONTH(A43))</f>
        <v/>
      </c>
    </row>
    <row r="44" customFormat="false" ht="15" hidden="false" customHeight="false" outlineLevel="0" collapsed="false">
      <c r="A44" s="19"/>
      <c r="B44" s="7"/>
      <c r="C44" s="7"/>
      <c r="D44" s="7"/>
      <c r="E44" s="17"/>
      <c r="F44" s="7"/>
      <c r="G44" s="7"/>
      <c r="H44" s="21" t="str">
        <f aca="false">IF(A44="","",MONTH(A44))</f>
        <v/>
      </c>
    </row>
    <row r="45" customFormat="false" ht="15" hidden="false" customHeight="false" outlineLevel="0" collapsed="false">
      <c r="A45" s="19"/>
      <c r="B45" s="7"/>
      <c r="C45" s="7"/>
      <c r="D45" s="7"/>
      <c r="E45" s="17"/>
      <c r="F45" s="7"/>
      <c r="G45" s="7"/>
      <c r="H45" s="21" t="str">
        <f aca="false">IF(A45="","",MONTH(A45))</f>
        <v/>
      </c>
    </row>
    <row r="46" customFormat="false" ht="15" hidden="false" customHeight="false" outlineLevel="0" collapsed="false">
      <c r="A46" s="19"/>
      <c r="B46" s="7"/>
      <c r="C46" s="7"/>
      <c r="D46" s="7"/>
      <c r="E46" s="17"/>
      <c r="F46" s="7"/>
      <c r="G46" s="7"/>
      <c r="H46" s="21" t="str">
        <f aca="false">IF(A46="","",MONTH(A46))</f>
        <v/>
      </c>
    </row>
    <row r="47" customFormat="false" ht="15" hidden="false" customHeight="false" outlineLevel="0" collapsed="false">
      <c r="A47" s="19"/>
      <c r="B47" s="7"/>
      <c r="C47" s="7"/>
      <c r="D47" s="7"/>
      <c r="E47" s="17"/>
      <c r="F47" s="7"/>
      <c r="G47" s="7"/>
      <c r="H47" s="21" t="str">
        <f aca="false">IF(A47="","",MONTH(A47))</f>
        <v/>
      </c>
    </row>
    <row r="48" customFormat="false" ht="15" hidden="false" customHeight="false" outlineLevel="0" collapsed="false">
      <c r="A48" s="19"/>
      <c r="B48" s="7"/>
      <c r="C48" s="7"/>
      <c r="D48" s="7"/>
      <c r="E48" s="17"/>
      <c r="F48" s="7"/>
      <c r="G48" s="7"/>
      <c r="H48" s="21" t="str">
        <f aca="false">IF(A48="","",MONTH(A48))</f>
        <v/>
      </c>
    </row>
    <row r="49" customFormat="false" ht="15" hidden="false" customHeight="false" outlineLevel="0" collapsed="false">
      <c r="A49" s="19"/>
      <c r="B49" s="7"/>
      <c r="C49" s="7"/>
      <c r="D49" s="7"/>
      <c r="E49" s="17"/>
      <c r="F49" s="7"/>
      <c r="G49" s="7"/>
      <c r="H49" s="21" t="str">
        <f aca="false">IF(A49="","",MONTH(A49))</f>
        <v/>
      </c>
    </row>
    <row r="50" customFormat="false" ht="15" hidden="false" customHeight="false" outlineLevel="0" collapsed="false">
      <c r="A50" s="19"/>
      <c r="B50" s="7"/>
      <c r="C50" s="7"/>
      <c r="D50" s="7"/>
      <c r="E50" s="17"/>
      <c r="F50" s="7"/>
      <c r="G50" s="7"/>
      <c r="H50" s="21" t="str">
        <f aca="false">IF(A50="","",MONTH(A50))</f>
        <v/>
      </c>
    </row>
    <row r="51" customFormat="false" ht="15" hidden="false" customHeight="false" outlineLevel="0" collapsed="false">
      <c r="A51" s="19"/>
      <c r="B51" s="7"/>
      <c r="C51" s="7"/>
      <c r="D51" s="7"/>
      <c r="E51" s="17"/>
      <c r="F51" s="7"/>
      <c r="G51" s="7"/>
      <c r="H51" s="21" t="str">
        <f aca="false">IF(A51="","",MONTH(A51))</f>
        <v/>
      </c>
    </row>
    <row r="52" customFormat="false" ht="15" hidden="false" customHeight="false" outlineLevel="0" collapsed="false">
      <c r="A52" s="19"/>
      <c r="B52" s="7"/>
      <c r="C52" s="7"/>
      <c r="D52" s="7"/>
      <c r="E52" s="17"/>
      <c r="F52" s="7"/>
      <c r="G52" s="7"/>
      <c r="H52" s="21" t="str">
        <f aca="false">IF(A52="","",MONTH(A52))</f>
        <v/>
      </c>
    </row>
    <row r="53" customFormat="false" ht="15" hidden="false" customHeight="false" outlineLevel="0" collapsed="false">
      <c r="A53" s="19"/>
      <c r="B53" s="7"/>
      <c r="C53" s="7"/>
      <c r="D53" s="7"/>
      <c r="E53" s="17"/>
      <c r="F53" s="7"/>
      <c r="G53" s="7"/>
      <c r="H53" s="21" t="str">
        <f aca="false">IF(A53="","",MONTH(A53))</f>
        <v/>
      </c>
    </row>
    <row r="54" customFormat="false" ht="15" hidden="false" customHeight="false" outlineLevel="0" collapsed="false">
      <c r="A54" s="19"/>
      <c r="B54" s="7"/>
      <c r="C54" s="7"/>
      <c r="D54" s="7"/>
      <c r="E54" s="17"/>
      <c r="F54" s="7"/>
      <c r="G54" s="7"/>
      <c r="H54" s="21" t="str">
        <f aca="false">IF(A54="","",MONTH(A54))</f>
        <v/>
      </c>
    </row>
    <row r="55" customFormat="false" ht="15" hidden="false" customHeight="false" outlineLevel="0" collapsed="false">
      <c r="A55" s="19"/>
      <c r="B55" s="7"/>
      <c r="C55" s="7"/>
      <c r="D55" s="7"/>
      <c r="E55" s="17"/>
      <c r="F55" s="7"/>
      <c r="G55" s="7"/>
      <c r="H55" s="21" t="str">
        <f aca="false">IF(A55="","",MONTH(A55))</f>
        <v/>
      </c>
    </row>
    <row r="56" customFormat="false" ht="15" hidden="false" customHeight="false" outlineLevel="0" collapsed="false">
      <c r="A56" s="19"/>
      <c r="B56" s="7"/>
      <c r="C56" s="7"/>
      <c r="D56" s="7"/>
      <c r="E56" s="17"/>
      <c r="F56" s="7"/>
      <c r="G56" s="7"/>
      <c r="H56" s="21" t="str">
        <f aca="false">IF(A56="","",MONTH(A56))</f>
        <v/>
      </c>
    </row>
    <row r="57" customFormat="false" ht="15" hidden="false" customHeight="false" outlineLevel="0" collapsed="false">
      <c r="A57" s="19"/>
      <c r="B57" s="7"/>
      <c r="C57" s="7"/>
      <c r="D57" s="7"/>
      <c r="E57" s="17"/>
      <c r="F57" s="7"/>
      <c r="G57" s="7"/>
      <c r="H57" s="21" t="str">
        <f aca="false">IF(A57="","",MONTH(A57))</f>
        <v/>
      </c>
    </row>
    <row r="58" customFormat="false" ht="15" hidden="false" customHeight="false" outlineLevel="0" collapsed="false">
      <c r="A58" s="19"/>
      <c r="B58" s="7"/>
      <c r="C58" s="7"/>
      <c r="D58" s="7"/>
      <c r="E58" s="17"/>
      <c r="F58" s="7"/>
      <c r="G58" s="7"/>
      <c r="H58" s="21" t="str">
        <f aca="false">IF(A58="","",MONTH(A58))</f>
        <v/>
      </c>
    </row>
    <row r="59" customFormat="false" ht="15" hidden="false" customHeight="false" outlineLevel="0" collapsed="false">
      <c r="A59" s="19"/>
      <c r="B59" s="7"/>
      <c r="C59" s="7"/>
      <c r="D59" s="7"/>
      <c r="E59" s="17"/>
      <c r="F59" s="7"/>
      <c r="G59" s="7"/>
      <c r="H59" s="21" t="str">
        <f aca="false">IF(A59="","",MONTH(A59))</f>
        <v/>
      </c>
    </row>
    <row r="60" customFormat="false" ht="15" hidden="false" customHeight="false" outlineLevel="0" collapsed="false">
      <c r="A60" s="19"/>
      <c r="B60" s="7"/>
      <c r="C60" s="7"/>
      <c r="D60" s="7"/>
      <c r="E60" s="17"/>
      <c r="F60" s="7"/>
      <c r="G60" s="7"/>
      <c r="H60" s="21" t="str">
        <f aca="false">IF(A60="","",MONTH(A60))</f>
        <v/>
      </c>
    </row>
    <row r="61" customFormat="false" ht="15" hidden="false" customHeight="false" outlineLevel="0" collapsed="false">
      <c r="A61" s="19"/>
      <c r="B61" s="7"/>
      <c r="C61" s="7"/>
      <c r="D61" s="7"/>
      <c r="E61" s="17"/>
      <c r="F61" s="7"/>
      <c r="G61" s="7"/>
      <c r="H61" s="21" t="str">
        <f aca="false">IF(A61="","",MONTH(A61))</f>
        <v/>
      </c>
    </row>
    <row r="62" customFormat="false" ht="15" hidden="false" customHeight="false" outlineLevel="0" collapsed="false">
      <c r="A62" s="19"/>
      <c r="B62" s="7"/>
      <c r="C62" s="7"/>
      <c r="D62" s="7"/>
      <c r="E62" s="17"/>
      <c r="F62" s="7"/>
      <c r="G62" s="7"/>
      <c r="H62" s="21" t="str">
        <f aca="false">IF(A62="","",MONTH(A62))</f>
        <v/>
      </c>
    </row>
    <row r="63" customFormat="false" ht="15" hidden="false" customHeight="false" outlineLevel="0" collapsed="false">
      <c r="A63" s="19"/>
      <c r="B63" s="7"/>
      <c r="C63" s="7"/>
      <c r="D63" s="7"/>
      <c r="E63" s="17"/>
      <c r="F63" s="7"/>
      <c r="G63" s="7"/>
      <c r="H63" s="21" t="str">
        <f aca="false">IF(A63="","",MONTH(A63))</f>
        <v/>
      </c>
    </row>
    <row r="64" customFormat="false" ht="15" hidden="false" customHeight="false" outlineLevel="0" collapsed="false">
      <c r="A64" s="19"/>
      <c r="B64" s="7"/>
      <c r="C64" s="7"/>
      <c r="D64" s="7"/>
      <c r="E64" s="17"/>
      <c r="F64" s="7"/>
      <c r="G64" s="7"/>
      <c r="H64" s="21" t="str">
        <f aca="false">IF(A64="","",MONTH(A64))</f>
        <v/>
      </c>
    </row>
    <row r="65" customFormat="false" ht="15" hidden="false" customHeight="false" outlineLevel="0" collapsed="false">
      <c r="A65" s="19"/>
      <c r="B65" s="7"/>
      <c r="C65" s="7"/>
      <c r="D65" s="7"/>
      <c r="E65" s="17"/>
      <c r="F65" s="7"/>
      <c r="G65" s="7"/>
      <c r="H65" s="21" t="str">
        <f aca="false">IF(A65="","",MONTH(A65))</f>
        <v/>
      </c>
    </row>
    <row r="66" customFormat="false" ht="15" hidden="false" customHeight="false" outlineLevel="0" collapsed="false">
      <c r="A66" s="19"/>
      <c r="B66" s="7"/>
      <c r="C66" s="7"/>
      <c r="D66" s="7"/>
      <c r="E66" s="17"/>
      <c r="F66" s="7"/>
      <c r="G66" s="7"/>
      <c r="H66" s="21" t="str">
        <f aca="false">IF(A66="","",MONTH(A66))</f>
        <v/>
      </c>
    </row>
    <row r="67" customFormat="false" ht="15" hidden="false" customHeight="false" outlineLevel="0" collapsed="false">
      <c r="A67" s="19"/>
      <c r="B67" s="7"/>
      <c r="C67" s="7"/>
      <c r="D67" s="7"/>
      <c r="E67" s="17"/>
      <c r="F67" s="7"/>
      <c r="G67" s="7"/>
      <c r="H67" s="21" t="str">
        <f aca="false">IF(A67="","",MONTH(A67))</f>
        <v/>
      </c>
    </row>
    <row r="68" customFormat="false" ht="15" hidden="false" customHeight="false" outlineLevel="0" collapsed="false">
      <c r="A68" s="19"/>
      <c r="B68" s="7"/>
      <c r="C68" s="7"/>
      <c r="D68" s="7"/>
      <c r="E68" s="17"/>
      <c r="F68" s="7"/>
      <c r="G68" s="7"/>
      <c r="H68" s="21" t="str">
        <f aca="false">IF(A68="","",MONTH(A68))</f>
        <v/>
      </c>
    </row>
    <row r="69" customFormat="false" ht="15" hidden="false" customHeight="false" outlineLevel="0" collapsed="false">
      <c r="A69" s="19"/>
      <c r="B69" s="7"/>
      <c r="C69" s="7"/>
      <c r="D69" s="7"/>
      <c r="E69" s="17"/>
      <c r="F69" s="7"/>
      <c r="G69" s="7"/>
      <c r="H69" s="21" t="str">
        <f aca="false">IF(A69="","",MONTH(A69))</f>
        <v/>
      </c>
    </row>
    <row r="70" customFormat="false" ht="15" hidden="false" customHeight="false" outlineLevel="0" collapsed="false">
      <c r="A70" s="19"/>
      <c r="B70" s="7"/>
      <c r="C70" s="7"/>
      <c r="D70" s="7"/>
      <c r="E70" s="17"/>
      <c r="F70" s="7"/>
      <c r="G70" s="7"/>
      <c r="H70" s="21" t="str">
        <f aca="false">IF(A70="","",MONTH(A70))</f>
        <v/>
      </c>
    </row>
    <row r="71" customFormat="false" ht="15" hidden="false" customHeight="false" outlineLevel="0" collapsed="false">
      <c r="A71" s="19"/>
      <c r="B71" s="7"/>
      <c r="C71" s="7"/>
      <c r="D71" s="7"/>
      <c r="E71" s="17"/>
      <c r="F71" s="7"/>
      <c r="G71" s="7"/>
      <c r="H71" s="21" t="str">
        <f aca="false">IF(A71="","",MONTH(A71))</f>
        <v/>
      </c>
    </row>
    <row r="72" customFormat="false" ht="15" hidden="false" customHeight="false" outlineLevel="0" collapsed="false">
      <c r="A72" s="19"/>
      <c r="B72" s="7"/>
      <c r="C72" s="7"/>
      <c r="D72" s="7"/>
      <c r="E72" s="17"/>
      <c r="F72" s="7"/>
      <c r="G72" s="7"/>
      <c r="H72" s="21" t="str">
        <f aca="false">IF(A72="","",MONTH(A72))</f>
        <v/>
      </c>
    </row>
    <row r="73" customFormat="false" ht="15" hidden="false" customHeight="false" outlineLevel="0" collapsed="false">
      <c r="A73" s="19"/>
      <c r="B73" s="7"/>
      <c r="C73" s="7"/>
      <c r="D73" s="7"/>
      <c r="E73" s="17"/>
      <c r="F73" s="7"/>
      <c r="G73" s="7"/>
      <c r="H73" s="21" t="str">
        <f aca="false">IF(A73="","",MONTH(A73))</f>
        <v/>
      </c>
    </row>
    <row r="74" customFormat="false" ht="15" hidden="false" customHeight="false" outlineLevel="0" collapsed="false">
      <c r="A74" s="19"/>
      <c r="B74" s="7"/>
      <c r="C74" s="7"/>
      <c r="D74" s="7"/>
      <c r="E74" s="17"/>
      <c r="F74" s="7"/>
      <c r="G74" s="7"/>
      <c r="H74" s="21" t="str">
        <f aca="false">IF(A74="","",MONTH(A74))</f>
        <v/>
      </c>
    </row>
    <row r="75" customFormat="false" ht="15" hidden="false" customHeight="false" outlineLevel="0" collapsed="false">
      <c r="A75" s="19"/>
      <c r="B75" s="7"/>
      <c r="C75" s="7"/>
      <c r="D75" s="7"/>
      <c r="E75" s="17"/>
      <c r="F75" s="7"/>
      <c r="G75" s="7"/>
      <c r="H75" s="21" t="str">
        <f aca="false">IF(A75="","",MONTH(A75))</f>
        <v/>
      </c>
    </row>
    <row r="76" customFormat="false" ht="15" hidden="false" customHeight="false" outlineLevel="0" collapsed="false">
      <c r="A76" s="19"/>
      <c r="B76" s="7"/>
      <c r="C76" s="7"/>
      <c r="D76" s="7"/>
      <c r="E76" s="17"/>
      <c r="F76" s="7"/>
      <c r="G76" s="7"/>
      <c r="H76" s="21" t="str">
        <f aca="false">IF(A76="","",MONTH(A76))</f>
        <v/>
      </c>
    </row>
    <row r="77" customFormat="false" ht="15" hidden="false" customHeight="false" outlineLevel="0" collapsed="false">
      <c r="A77" s="19"/>
      <c r="B77" s="7"/>
      <c r="C77" s="7"/>
      <c r="D77" s="7"/>
      <c r="E77" s="17"/>
      <c r="F77" s="7"/>
      <c r="G77" s="7"/>
      <c r="H77" s="21" t="str">
        <f aca="false">IF(A77="","",MONTH(A77))</f>
        <v/>
      </c>
    </row>
    <row r="78" customFormat="false" ht="15" hidden="false" customHeight="false" outlineLevel="0" collapsed="false">
      <c r="A78" s="19"/>
      <c r="B78" s="7"/>
      <c r="C78" s="7"/>
      <c r="D78" s="7"/>
      <c r="E78" s="17"/>
      <c r="F78" s="7"/>
      <c r="G78" s="7"/>
      <c r="H78" s="21" t="str">
        <f aca="false">IF(A78="","",MONTH(A78))</f>
        <v/>
      </c>
    </row>
    <row r="79" customFormat="false" ht="15" hidden="false" customHeight="false" outlineLevel="0" collapsed="false">
      <c r="A79" s="19"/>
      <c r="B79" s="7"/>
      <c r="C79" s="7"/>
      <c r="D79" s="7"/>
      <c r="E79" s="17"/>
      <c r="F79" s="7"/>
      <c r="G79" s="7"/>
      <c r="H79" s="21" t="str">
        <f aca="false">IF(A79="","",MONTH(A79))</f>
        <v/>
      </c>
    </row>
    <row r="80" customFormat="false" ht="15" hidden="false" customHeight="false" outlineLevel="0" collapsed="false">
      <c r="A80" s="19"/>
      <c r="B80" s="7"/>
      <c r="C80" s="7"/>
      <c r="D80" s="7"/>
      <c r="E80" s="17"/>
      <c r="F80" s="7"/>
      <c r="G80" s="7"/>
      <c r="H80" s="21" t="str">
        <f aca="false">IF(A80="","",MONTH(A80))</f>
        <v/>
      </c>
    </row>
    <row r="81" customFormat="false" ht="15" hidden="false" customHeight="false" outlineLevel="0" collapsed="false">
      <c r="A81" s="19"/>
      <c r="B81" s="7"/>
      <c r="C81" s="7"/>
      <c r="D81" s="7"/>
      <c r="E81" s="17"/>
      <c r="F81" s="7"/>
      <c r="G81" s="7"/>
      <c r="H81" s="21" t="str">
        <f aca="false">IF(A81="","",MONTH(A81))</f>
        <v/>
      </c>
    </row>
    <row r="82" customFormat="false" ht="15" hidden="false" customHeight="false" outlineLevel="0" collapsed="false">
      <c r="A82" s="19"/>
      <c r="B82" s="7"/>
      <c r="C82" s="7"/>
      <c r="D82" s="7"/>
      <c r="E82" s="17"/>
      <c r="F82" s="7"/>
      <c r="G82" s="7"/>
      <c r="H82" s="21" t="str">
        <f aca="false">IF(A82="","",MONTH(A82))</f>
        <v/>
      </c>
    </row>
    <row r="83" customFormat="false" ht="15" hidden="false" customHeight="false" outlineLevel="0" collapsed="false">
      <c r="A83" s="19"/>
      <c r="B83" s="7"/>
      <c r="C83" s="7"/>
      <c r="D83" s="7"/>
      <c r="E83" s="17"/>
      <c r="F83" s="7"/>
      <c r="G83" s="7"/>
      <c r="H83" s="21" t="str">
        <f aca="false">IF(A83="","",MONTH(A83))</f>
        <v/>
      </c>
    </row>
    <row r="84" customFormat="false" ht="15" hidden="false" customHeight="false" outlineLevel="0" collapsed="false">
      <c r="A84" s="19"/>
      <c r="B84" s="7"/>
      <c r="C84" s="7"/>
      <c r="D84" s="7"/>
      <c r="E84" s="17"/>
      <c r="F84" s="7"/>
      <c r="G84" s="7"/>
      <c r="H84" s="21" t="str">
        <f aca="false">IF(A84="","",MONTH(A84))</f>
        <v/>
      </c>
    </row>
    <row r="85" customFormat="false" ht="15" hidden="false" customHeight="false" outlineLevel="0" collapsed="false">
      <c r="A85" s="19"/>
      <c r="B85" s="7"/>
      <c r="C85" s="7"/>
      <c r="D85" s="7"/>
      <c r="E85" s="17"/>
      <c r="F85" s="7"/>
      <c r="G85" s="7"/>
      <c r="H85" s="21" t="str">
        <f aca="false">IF(A85="","",MONTH(A85))</f>
        <v/>
      </c>
    </row>
    <row r="86" customFormat="false" ht="15" hidden="false" customHeight="false" outlineLevel="0" collapsed="false">
      <c r="A86" s="19"/>
      <c r="B86" s="7"/>
      <c r="C86" s="7"/>
      <c r="D86" s="7"/>
      <c r="E86" s="17"/>
      <c r="F86" s="7"/>
      <c r="G86" s="7"/>
      <c r="H86" s="21" t="str">
        <f aca="false">IF(A86="","",MONTH(A86))</f>
        <v/>
      </c>
    </row>
    <row r="87" customFormat="false" ht="15" hidden="false" customHeight="false" outlineLevel="0" collapsed="false">
      <c r="A87" s="19"/>
      <c r="B87" s="7"/>
      <c r="C87" s="7"/>
      <c r="D87" s="7"/>
      <c r="E87" s="17"/>
      <c r="F87" s="7"/>
      <c r="G87" s="7"/>
      <c r="H87" s="21" t="str">
        <f aca="false">IF(A87="","",MONTH(A87))</f>
        <v/>
      </c>
    </row>
    <row r="88" customFormat="false" ht="15" hidden="false" customHeight="false" outlineLevel="0" collapsed="false">
      <c r="A88" s="19"/>
      <c r="B88" s="7"/>
      <c r="C88" s="7"/>
      <c r="D88" s="7"/>
      <c r="E88" s="17"/>
      <c r="F88" s="7"/>
      <c r="G88" s="7"/>
      <c r="H88" s="21" t="str">
        <f aca="false">IF(A88="","",MONTH(A88))</f>
        <v/>
      </c>
    </row>
    <row r="89" customFormat="false" ht="15" hidden="false" customHeight="false" outlineLevel="0" collapsed="false">
      <c r="A89" s="19"/>
      <c r="B89" s="7"/>
      <c r="C89" s="7"/>
      <c r="D89" s="7"/>
      <c r="E89" s="17"/>
      <c r="F89" s="7"/>
      <c r="G89" s="7"/>
      <c r="H89" s="21" t="str">
        <f aca="false">IF(A89="","",MONTH(A89))</f>
        <v/>
      </c>
    </row>
    <row r="90" customFormat="false" ht="15" hidden="false" customHeight="false" outlineLevel="0" collapsed="false">
      <c r="A90" s="19"/>
      <c r="B90" s="7"/>
      <c r="C90" s="7"/>
      <c r="D90" s="7"/>
      <c r="E90" s="17"/>
      <c r="F90" s="7"/>
      <c r="G90" s="7"/>
      <c r="H90" s="21" t="str">
        <f aca="false">IF(A90="","",MONTH(A90))</f>
        <v/>
      </c>
    </row>
    <row r="91" customFormat="false" ht="15" hidden="false" customHeight="false" outlineLevel="0" collapsed="false">
      <c r="A91" s="19"/>
      <c r="B91" s="7"/>
      <c r="C91" s="7"/>
      <c r="D91" s="7"/>
      <c r="E91" s="17"/>
      <c r="F91" s="7"/>
      <c r="G91" s="7"/>
      <c r="H91" s="21" t="str">
        <f aca="false">IF(A91="","",MONTH(A91))</f>
        <v/>
      </c>
    </row>
    <row r="92" customFormat="false" ht="15" hidden="false" customHeight="false" outlineLevel="0" collapsed="false">
      <c r="A92" s="19"/>
      <c r="B92" s="7"/>
      <c r="C92" s="7"/>
      <c r="D92" s="7"/>
      <c r="E92" s="17"/>
      <c r="F92" s="7"/>
      <c r="G92" s="7"/>
      <c r="H92" s="21" t="str">
        <f aca="false">IF(A92="","",MONTH(A92))</f>
        <v/>
      </c>
    </row>
    <row r="93" customFormat="false" ht="15" hidden="false" customHeight="false" outlineLevel="0" collapsed="false">
      <c r="A93" s="19"/>
      <c r="B93" s="7"/>
      <c r="C93" s="7"/>
      <c r="D93" s="7"/>
      <c r="E93" s="17"/>
      <c r="F93" s="7"/>
      <c r="G93" s="7"/>
      <c r="H93" s="21" t="str">
        <f aca="false">IF(A93="","",MONTH(A93))</f>
        <v/>
      </c>
    </row>
    <row r="94" customFormat="false" ht="15" hidden="false" customHeight="false" outlineLevel="0" collapsed="false">
      <c r="A94" s="19"/>
      <c r="B94" s="7"/>
      <c r="C94" s="7"/>
      <c r="D94" s="7"/>
      <c r="E94" s="17"/>
      <c r="F94" s="7"/>
      <c r="G94" s="7"/>
      <c r="H94" s="21" t="str">
        <f aca="false">IF(A94="","",MONTH(A94))</f>
        <v/>
      </c>
    </row>
    <row r="95" customFormat="false" ht="15" hidden="false" customHeight="false" outlineLevel="0" collapsed="false">
      <c r="A95" s="19"/>
      <c r="B95" s="7"/>
      <c r="C95" s="7"/>
      <c r="D95" s="7"/>
      <c r="E95" s="17"/>
      <c r="F95" s="7"/>
      <c r="G95" s="7"/>
      <c r="H95" s="21" t="str">
        <f aca="false">IF(A95="","",MONTH(A95))</f>
        <v/>
      </c>
    </row>
    <row r="96" customFormat="false" ht="15" hidden="false" customHeight="false" outlineLevel="0" collapsed="false">
      <c r="A96" s="19"/>
      <c r="B96" s="7"/>
      <c r="C96" s="7"/>
      <c r="D96" s="7"/>
      <c r="E96" s="17"/>
      <c r="F96" s="7"/>
      <c r="G96" s="7"/>
      <c r="H96" s="21" t="str">
        <f aca="false">IF(A96="","",MONTH(A96))</f>
        <v/>
      </c>
    </row>
    <row r="97" customFormat="false" ht="15" hidden="false" customHeight="false" outlineLevel="0" collapsed="false">
      <c r="A97" s="19"/>
      <c r="B97" s="7"/>
      <c r="C97" s="7"/>
      <c r="D97" s="7"/>
      <c r="E97" s="17"/>
      <c r="F97" s="7"/>
      <c r="G97" s="7"/>
      <c r="H97" s="21" t="str">
        <f aca="false">IF(A97="","",MONTH(A97))</f>
        <v/>
      </c>
    </row>
    <row r="98" customFormat="false" ht="15" hidden="false" customHeight="false" outlineLevel="0" collapsed="false">
      <c r="A98" s="19"/>
      <c r="B98" s="7"/>
      <c r="C98" s="7"/>
      <c r="D98" s="7"/>
      <c r="E98" s="17"/>
      <c r="F98" s="7"/>
      <c r="G98" s="7"/>
      <c r="H98" s="21" t="str">
        <f aca="false">IF(A98="","",MONTH(A98))</f>
        <v/>
      </c>
    </row>
    <row r="99" customFormat="false" ht="15" hidden="false" customHeight="false" outlineLevel="0" collapsed="false">
      <c r="A99" s="19"/>
      <c r="B99" s="7"/>
      <c r="C99" s="7"/>
      <c r="D99" s="7"/>
      <c r="E99" s="17"/>
      <c r="F99" s="7"/>
      <c r="G99" s="7"/>
      <c r="H99" s="21" t="str">
        <f aca="false">IF(A99="","",MONTH(A99))</f>
        <v/>
      </c>
    </row>
    <row r="100" customFormat="false" ht="15" hidden="false" customHeight="false" outlineLevel="0" collapsed="false">
      <c r="A100" s="19"/>
      <c r="B100" s="7"/>
      <c r="C100" s="7"/>
      <c r="D100" s="7"/>
      <c r="E100" s="17"/>
      <c r="F100" s="7"/>
      <c r="G100" s="7"/>
      <c r="H100" s="21" t="str">
        <f aca="false">IF(A100="","",MONTH(A100))</f>
        <v/>
      </c>
    </row>
    <row r="101" customFormat="false" ht="15" hidden="false" customHeight="false" outlineLevel="0" collapsed="false">
      <c r="A101" s="19"/>
      <c r="B101" s="7"/>
      <c r="C101" s="7"/>
      <c r="D101" s="7"/>
      <c r="E101" s="17"/>
      <c r="F101" s="7"/>
      <c r="G101" s="7"/>
      <c r="H101" s="21" t="str">
        <f aca="false">IF(A101="","",MONTH(A101))</f>
        <v/>
      </c>
    </row>
    <row r="102" customFormat="false" ht="15" hidden="false" customHeight="false" outlineLevel="0" collapsed="false">
      <c r="A102" s="19"/>
      <c r="B102" s="7"/>
      <c r="C102" s="7"/>
      <c r="D102" s="7"/>
      <c r="E102" s="17"/>
      <c r="F102" s="7"/>
      <c r="G102" s="7"/>
      <c r="H102" s="21" t="str">
        <f aca="false">IF(A102="","",MONTH(A102))</f>
        <v/>
      </c>
    </row>
    <row r="103" customFormat="false" ht="15" hidden="false" customHeight="false" outlineLevel="0" collapsed="false">
      <c r="A103" s="19"/>
      <c r="B103" s="7"/>
      <c r="C103" s="7"/>
      <c r="D103" s="7"/>
      <c r="E103" s="17"/>
      <c r="F103" s="7"/>
      <c r="G103" s="7"/>
      <c r="H103" s="21" t="str">
        <f aca="false">IF(A103="","",MONTH(A103))</f>
        <v/>
      </c>
    </row>
    <row r="104" customFormat="false" ht="15" hidden="false" customHeight="false" outlineLevel="0" collapsed="false">
      <c r="A104" s="19"/>
      <c r="B104" s="7"/>
      <c r="C104" s="7"/>
      <c r="D104" s="7"/>
      <c r="E104" s="17"/>
      <c r="F104" s="7"/>
      <c r="G104" s="7"/>
      <c r="H104" s="21" t="str">
        <f aca="false">IF(A104="","",MONTH(A104))</f>
        <v/>
      </c>
    </row>
    <row r="105" customFormat="false" ht="15" hidden="false" customHeight="false" outlineLevel="0" collapsed="false">
      <c r="A105" s="19"/>
      <c r="B105" s="7"/>
      <c r="C105" s="7"/>
      <c r="D105" s="7"/>
      <c r="E105" s="17"/>
      <c r="F105" s="7"/>
      <c r="G105" s="7"/>
      <c r="H105" s="21" t="str">
        <f aca="false">IF(A105="","",MONTH(A105))</f>
        <v/>
      </c>
    </row>
    <row r="106" customFormat="false" ht="15" hidden="false" customHeight="false" outlineLevel="0" collapsed="false">
      <c r="A106" s="19"/>
      <c r="B106" s="7"/>
      <c r="C106" s="7"/>
      <c r="D106" s="7"/>
      <c r="E106" s="17"/>
      <c r="F106" s="7"/>
      <c r="G106" s="7"/>
      <c r="H106" s="21" t="str">
        <f aca="false">IF(A106="","",MONTH(A106))</f>
        <v/>
      </c>
    </row>
    <row r="107" customFormat="false" ht="15" hidden="false" customHeight="false" outlineLevel="0" collapsed="false">
      <c r="A107" s="19"/>
      <c r="B107" s="7"/>
      <c r="C107" s="7"/>
      <c r="D107" s="7"/>
      <c r="E107" s="17"/>
      <c r="F107" s="7"/>
      <c r="G107" s="7"/>
      <c r="H107" s="21" t="str">
        <f aca="false">IF(A107="","",MONTH(A107))</f>
        <v/>
      </c>
    </row>
    <row r="108" customFormat="false" ht="15" hidden="false" customHeight="false" outlineLevel="0" collapsed="false">
      <c r="A108" s="19"/>
      <c r="B108" s="7"/>
      <c r="C108" s="7"/>
      <c r="D108" s="7"/>
      <c r="E108" s="17"/>
      <c r="F108" s="7"/>
      <c r="G108" s="7"/>
      <c r="H108" s="21" t="str">
        <f aca="false">IF(A108="","",MONTH(A108))</f>
        <v/>
      </c>
    </row>
    <row r="109" customFormat="false" ht="15" hidden="false" customHeight="false" outlineLevel="0" collapsed="false">
      <c r="A109" s="19"/>
      <c r="B109" s="7"/>
      <c r="C109" s="7"/>
      <c r="D109" s="7"/>
      <c r="E109" s="17"/>
      <c r="F109" s="7"/>
      <c r="G109" s="7"/>
      <c r="H109" s="21" t="str">
        <f aca="false">IF(A109="","",MONTH(A109))</f>
        <v/>
      </c>
    </row>
    <row r="110" customFormat="false" ht="15" hidden="false" customHeight="false" outlineLevel="0" collapsed="false">
      <c r="A110" s="19"/>
      <c r="B110" s="7"/>
      <c r="C110" s="7"/>
      <c r="D110" s="7"/>
      <c r="E110" s="17"/>
      <c r="F110" s="7"/>
      <c r="G110" s="7"/>
      <c r="H110" s="21" t="str">
        <f aca="false">IF(A110="","",MONTH(A110))</f>
        <v/>
      </c>
    </row>
    <row r="111" customFormat="false" ht="15" hidden="false" customHeight="false" outlineLevel="0" collapsed="false">
      <c r="A111" s="19"/>
      <c r="B111" s="7"/>
      <c r="C111" s="7"/>
      <c r="D111" s="7"/>
      <c r="E111" s="17"/>
      <c r="F111" s="7"/>
      <c r="G111" s="7"/>
      <c r="H111" s="21" t="str">
        <f aca="false">IF(A111="","",MONTH(A111))</f>
        <v/>
      </c>
    </row>
    <row r="112" customFormat="false" ht="15" hidden="false" customHeight="false" outlineLevel="0" collapsed="false">
      <c r="A112" s="19"/>
      <c r="B112" s="7"/>
      <c r="C112" s="7"/>
      <c r="D112" s="7"/>
      <c r="E112" s="17"/>
      <c r="F112" s="7"/>
      <c r="G112" s="7"/>
      <c r="H112" s="21" t="str">
        <f aca="false">IF(A112="","",MONTH(A112))</f>
        <v/>
      </c>
    </row>
    <row r="113" customFormat="false" ht="15" hidden="false" customHeight="false" outlineLevel="0" collapsed="false">
      <c r="A113" s="19"/>
      <c r="B113" s="7"/>
      <c r="C113" s="7"/>
      <c r="D113" s="7"/>
      <c r="E113" s="17"/>
      <c r="F113" s="7"/>
      <c r="G113" s="7"/>
      <c r="H113" s="21" t="str">
        <f aca="false">IF(A113="","",MONTH(A113))</f>
        <v/>
      </c>
    </row>
    <row r="114" customFormat="false" ht="15" hidden="false" customHeight="false" outlineLevel="0" collapsed="false">
      <c r="A114" s="19"/>
      <c r="B114" s="7"/>
      <c r="C114" s="7"/>
      <c r="D114" s="7"/>
      <c r="E114" s="17"/>
      <c r="F114" s="7"/>
      <c r="G114" s="7"/>
      <c r="H114" s="21" t="str">
        <f aca="false">IF(A114="","",MONTH(A114))</f>
        <v/>
      </c>
    </row>
    <row r="115" customFormat="false" ht="15" hidden="false" customHeight="false" outlineLevel="0" collapsed="false">
      <c r="A115" s="19"/>
      <c r="B115" s="7"/>
      <c r="C115" s="7"/>
      <c r="D115" s="7"/>
      <c r="E115" s="17"/>
      <c r="F115" s="7"/>
      <c r="G115" s="7"/>
      <c r="H115" s="21" t="str">
        <f aca="false">IF(A115="","",MONTH(A115))</f>
        <v/>
      </c>
    </row>
    <row r="116" customFormat="false" ht="15" hidden="false" customHeight="false" outlineLevel="0" collapsed="false">
      <c r="A116" s="19"/>
      <c r="B116" s="7"/>
      <c r="C116" s="7"/>
      <c r="D116" s="7"/>
      <c r="E116" s="17"/>
      <c r="F116" s="7"/>
      <c r="G116" s="7"/>
      <c r="H116" s="21" t="str">
        <f aca="false">IF(A116="","",MONTH(A116))</f>
        <v/>
      </c>
    </row>
    <row r="117" customFormat="false" ht="15" hidden="false" customHeight="false" outlineLevel="0" collapsed="false">
      <c r="A117" s="19"/>
      <c r="B117" s="7"/>
      <c r="C117" s="7"/>
      <c r="D117" s="7"/>
      <c r="E117" s="17"/>
      <c r="F117" s="7"/>
      <c r="G117" s="7"/>
      <c r="H117" s="21" t="str">
        <f aca="false">IF(A117="","",MONTH(A117))</f>
        <v/>
      </c>
    </row>
    <row r="118" customFormat="false" ht="15" hidden="false" customHeight="false" outlineLevel="0" collapsed="false">
      <c r="A118" s="19"/>
      <c r="B118" s="7"/>
      <c r="C118" s="7"/>
      <c r="D118" s="7"/>
      <c r="E118" s="17"/>
      <c r="F118" s="7"/>
      <c r="G118" s="7"/>
      <c r="H118" s="21" t="str">
        <f aca="false">IF(A118="","",MONTH(A118))</f>
        <v/>
      </c>
    </row>
    <row r="119" customFormat="false" ht="15" hidden="false" customHeight="false" outlineLevel="0" collapsed="false">
      <c r="A119" s="19"/>
      <c r="B119" s="7"/>
      <c r="C119" s="7"/>
      <c r="D119" s="7"/>
      <c r="E119" s="17"/>
      <c r="F119" s="7"/>
      <c r="G119" s="7"/>
      <c r="H119" s="21" t="str">
        <f aca="false">IF(A119="","",MONTH(A119))</f>
        <v/>
      </c>
    </row>
    <row r="120" customFormat="false" ht="15" hidden="false" customHeight="false" outlineLevel="0" collapsed="false">
      <c r="A120" s="19"/>
      <c r="B120" s="7"/>
      <c r="C120" s="7"/>
      <c r="D120" s="7"/>
      <c r="E120" s="17"/>
      <c r="F120" s="7"/>
      <c r="G120" s="7"/>
      <c r="H120" s="21" t="str">
        <f aca="false">IF(A120="","",MONTH(A120))</f>
        <v/>
      </c>
    </row>
    <row r="121" customFormat="false" ht="15" hidden="false" customHeight="false" outlineLevel="0" collapsed="false">
      <c r="A121" s="19"/>
      <c r="B121" s="7"/>
      <c r="C121" s="7"/>
      <c r="D121" s="7"/>
      <c r="E121" s="17"/>
      <c r="F121" s="7"/>
      <c r="G121" s="7"/>
      <c r="H121" s="21" t="str">
        <f aca="false">IF(A121="","",MONTH(A121))</f>
        <v/>
      </c>
    </row>
    <row r="122" customFormat="false" ht="15" hidden="false" customHeight="false" outlineLevel="0" collapsed="false">
      <c r="A122" s="19"/>
      <c r="B122" s="7"/>
      <c r="C122" s="7"/>
      <c r="D122" s="7"/>
      <c r="E122" s="17"/>
      <c r="F122" s="7"/>
      <c r="G122" s="7"/>
      <c r="H122" s="21" t="str">
        <f aca="false">IF(A122="","",MONTH(A122))</f>
        <v/>
      </c>
    </row>
    <row r="123" customFormat="false" ht="15" hidden="false" customHeight="false" outlineLevel="0" collapsed="false">
      <c r="A123" s="19"/>
      <c r="B123" s="7"/>
      <c r="C123" s="7"/>
      <c r="D123" s="7"/>
      <c r="E123" s="17"/>
      <c r="F123" s="7"/>
      <c r="G123" s="7"/>
      <c r="H123" s="21" t="str">
        <f aca="false">IF(A123="","",MONTH(A123))</f>
        <v/>
      </c>
    </row>
    <row r="124" customFormat="false" ht="15" hidden="false" customHeight="false" outlineLevel="0" collapsed="false">
      <c r="A124" s="19"/>
      <c r="B124" s="7"/>
      <c r="C124" s="7"/>
      <c r="D124" s="7"/>
      <c r="E124" s="17"/>
      <c r="F124" s="7"/>
      <c r="G124" s="7"/>
      <c r="H124" s="21" t="str">
        <f aca="false">IF(A124="","",MONTH(A124))</f>
        <v/>
      </c>
    </row>
    <row r="125" customFormat="false" ht="15" hidden="false" customHeight="false" outlineLevel="0" collapsed="false">
      <c r="A125" s="19"/>
      <c r="B125" s="7"/>
      <c r="C125" s="7"/>
      <c r="D125" s="7"/>
      <c r="E125" s="17"/>
      <c r="F125" s="7"/>
      <c r="G125" s="7"/>
      <c r="H125" s="21" t="str">
        <f aca="false">IF(A125="","",MONTH(A125))</f>
        <v/>
      </c>
    </row>
    <row r="126" customFormat="false" ht="15" hidden="false" customHeight="false" outlineLevel="0" collapsed="false">
      <c r="A126" s="19"/>
      <c r="B126" s="7"/>
      <c r="C126" s="7"/>
      <c r="D126" s="7"/>
      <c r="E126" s="17"/>
      <c r="F126" s="7"/>
      <c r="G126" s="7"/>
      <c r="H126" s="21" t="str">
        <f aca="false">IF(A126="","",MONTH(A126))</f>
        <v/>
      </c>
    </row>
    <row r="127" customFormat="false" ht="15" hidden="false" customHeight="false" outlineLevel="0" collapsed="false">
      <c r="A127" s="19"/>
      <c r="B127" s="7"/>
      <c r="C127" s="7"/>
      <c r="D127" s="7"/>
      <c r="E127" s="17"/>
      <c r="F127" s="7"/>
      <c r="G127" s="7"/>
      <c r="H127" s="21" t="str">
        <f aca="false">IF(A127="","",MONTH(A127))</f>
        <v/>
      </c>
    </row>
    <row r="128" customFormat="false" ht="15" hidden="false" customHeight="false" outlineLevel="0" collapsed="false">
      <c r="A128" s="19"/>
      <c r="B128" s="7"/>
      <c r="C128" s="7"/>
      <c r="D128" s="7"/>
      <c r="E128" s="17"/>
      <c r="F128" s="7"/>
      <c r="G128" s="7"/>
      <c r="H128" s="21" t="str">
        <f aca="false">IF(A128="","",MONTH(A128))</f>
        <v/>
      </c>
    </row>
    <row r="129" customFormat="false" ht="15" hidden="false" customHeight="false" outlineLevel="0" collapsed="false">
      <c r="A129" s="19"/>
      <c r="B129" s="7"/>
      <c r="C129" s="7"/>
      <c r="D129" s="7"/>
      <c r="E129" s="17"/>
      <c r="F129" s="7"/>
      <c r="G129" s="7"/>
      <c r="H129" s="21" t="str">
        <f aca="false">IF(A129="","",MONTH(A129))</f>
        <v/>
      </c>
    </row>
    <row r="130" customFormat="false" ht="15" hidden="false" customHeight="false" outlineLevel="0" collapsed="false">
      <c r="A130" s="19"/>
      <c r="B130" s="7"/>
      <c r="C130" s="7"/>
      <c r="D130" s="7"/>
      <c r="E130" s="17"/>
      <c r="F130" s="7"/>
      <c r="G130" s="7"/>
      <c r="H130" s="21" t="str">
        <f aca="false">IF(A130="","",MONTH(A130))</f>
        <v/>
      </c>
    </row>
    <row r="131" customFormat="false" ht="15" hidden="false" customHeight="false" outlineLevel="0" collapsed="false">
      <c r="A131" s="19"/>
      <c r="B131" s="7"/>
      <c r="C131" s="7"/>
      <c r="D131" s="7"/>
      <c r="E131" s="17"/>
      <c r="F131" s="7"/>
      <c r="G131" s="7"/>
      <c r="H131" s="21" t="str">
        <f aca="false">IF(A131="","",MONTH(A131))</f>
        <v/>
      </c>
    </row>
    <row r="132" customFormat="false" ht="15" hidden="false" customHeight="false" outlineLevel="0" collapsed="false">
      <c r="A132" s="19"/>
      <c r="B132" s="7"/>
      <c r="C132" s="7"/>
      <c r="D132" s="7"/>
      <c r="E132" s="17"/>
      <c r="F132" s="7"/>
      <c r="G132" s="7"/>
      <c r="H132" s="21" t="str">
        <f aca="false">IF(A132="","",MONTH(A132))</f>
        <v/>
      </c>
    </row>
    <row r="133" customFormat="false" ht="15" hidden="false" customHeight="false" outlineLevel="0" collapsed="false">
      <c r="A133" s="19"/>
      <c r="B133" s="7"/>
      <c r="C133" s="7"/>
      <c r="D133" s="7"/>
      <c r="E133" s="17"/>
      <c r="F133" s="7"/>
      <c r="G133" s="7"/>
      <c r="H133" s="21" t="str">
        <f aca="false">IF(A133="","",MONTH(A133))</f>
        <v/>
      </c>
    </row>
    <row r="134" customFormat="false" ht="15" hidden="false" customHeight="false" outlineLevel="0" collapsed="false">
      <c r="A134" s="19"/>
      <c r="B134" s="7"/>
      <c r="C134" s="7"/>
      <c r="D134" s="7"/>
      <c r="E134" s="17"/>
      <c r="F134" s="7"/>
      <c r="G134" s="7"/>
      <c r="H134" s="21" t="str">
        <f aca="false">IF(A134="","",MONTH(A134))</f>
        <v/>
      </c>
    </row>
    <row r="135" customFormat="false" ht="15" hidden="false" customHeight="false" outlineLevel="0" collapsed="false">
      <c r="A135" s="19"/>
      <c r="B135" s="7"/>
      <c r="C135" s="7"/>
      <c r="D135" s="7"/>
      <c r="E135" s="17"/>
      <c r="F135" s="7"/>
      <c r="G135" s="7"/>
      <c r="H135" s="21" t="str">
        <f aca="false">IF(A135="","",MONTH(A135))</f>
        <v/>
      </c>
    </row>
    <row r="136" customFormat="false" ht="15" hidden="false" customHeight="false" outlineLevel="0" collapsed="false">
      <c r="A136" s="19"/>
      <c r="B136" s="7"/>
      <c r="C136" s="7"/>
      <c r="D136" s="7"/>
      <c r="E136" s="17"/>
      <c r="F136" s="7"/>
      <c r="G136" s="7"/>
      <c r="H136" s="21" t="str">
        <f aca="false">IF(A136="","",MONTH(A136))</f>
        <v/>
      </c>
    </row>
    <row r="137" customFormat="false" ht="15" hidden="false" customHeight="false" outlineLevel="0" collapsed="false">
      <c r="A137" s="19"/>
      <c r="B137" s="7"/>
      <c r="C137" s="7"/>
      <c r="D137" s="7"/>
      <c r="E137" s="17"/>
      <c r="F137" s="7"/>
      <c r="G137" s="7"/>
      <c r="H137" s="21" t="str">
        <f aca="false">IF(A137="","",MONTH(A137))</f>
        <v/>
      </c>
    </row>
    <row r="138" customFormat="false" ht="15" hidden="false" customHeight="false" outlineLevel="0" collapsed="false">
      <c r="A138" s="19"/>
      <c r="B138" s="7"/>
      <c r="C138" s="7"/>
      <c r="D138" s="7"/>
      <c r="E138" s="17"/>
      <c r="F138" s="7"/>
      <c r="G138" s="7"/>
      <c r="H138" s="21" t="str">
        <f aca="false">IF(A138="","",MONTH(A138))</f>
        <v/>
      </c>
    </row>
    <row r="139" customFormat="false" ht="15" hidden="false" customHeight="false" outlineLevel="0" collapsed="false">
      <c r="A139" s="19"/>
      <c r="B139" s="7"/>
      <c r="C139" s="7"/>
      <c r="D139" s="7"/>
      <c r="E139" s="17"/>
      <c r="F139" s="7"/>
      <c r="G139" s="7"/>
      <c r="H139" s="21" t="str">
        <f aca="false">IF(A139="","",MONTH(A139))</f>
        <v/>
      </c>
    </row>
    <row r="140" customFormat="false" ht="15" hidden="false" customHeight="false" outlineLevel="0" collapsed="false">
      <c r="A140" s="19"/>
      <c r="B140" s="7"/>
      <c r="C140" s="7"/>
      <c r="D140" s="7"/>
      <c r="E140" s="17"/>
      <c r="F140" s="7"/>
      <c r="G140" s="7"/>
      <c r="H140" s="21" t="str">
        <f aca="false">IF(A140="","",MONTH(A140))</f>
        <v/>
      </c>
    </row>
    <row r="141" customFormat="false" ht="15" hidden="false" customHeight="false" outlineLevel="0" collapsed="false">
      <c r="A141" s="19"/>
      <c r="B141" s="7"/>
      <c r="C141" s="7"/>
      <c r="D141" s="7"/>
      <c r="E141" s="17"/>
      <c r="F141" s="7"/>
      <c r="G141" s="7"/>
      <c r="H141" s="21" t="str">
        <f aca="false">IF(A141="","",MONTH(A141))</f>
        <v/>
      </c>
    </row>
    <row r="142" customFormat="false" ht="15" hidden="false" customHeight="false" outlineLevel="0" collapsed="false">
      <c r="A142" s="19"/>
      <c r="B142" s="7"/>
      <c r="C142" s="7"/>
      <c r="D142" s="7"/>
      <c r="E142" s="17"/>
      <c r="F142" s="7"/>
      <c r="G142" s="7"/>
      <c r="H142" s="21" t="str">
        <f aca="false">IF(A142="","",MONTH(A142))</f>
        <v/>
      </c>
    </row>
    <row r="143" customFormat="false" ht="15" hidden="false" customHeight="false" outlineLevel="0" collapsed="false">
      <c r="A143" s="19"/>
      <c r="B143" s="7"/>
      <c r="C143" s="7"/>
      <c r="D143" s="7"/>
      <c r="E143" s="17"/>
      <c r="F143" s="7"/>
      <c r="G143" s="7"/>
      <c r="H143" s="21" t="str">
        <f aca="false">IF(A143="","",MONTH(A143))</f>
        <v/>
      </c>
    </row>
    <row r="144" customFormat="false" ht="15" hidden="false" customHeight="false" outlineLevel="0" collapsed="false">
      <c r="A144" s="19"/>
      <c r="B144" s="7"/>
      <c r="C144" s="7"/>
      <c r="D144" s="7"/>
      <c r="E144" s="17"/>
      <c r="F144" s="7"/>
      <c r="G144" s="7"/>
      <c r="H144" s="21" t="str">
        <f aca="false">IF(A144="","",MONTH(A144))</f>
        <v/>
      </c>
    </row>
    <row r="145" customFormat="false" ht="15" hidden="false" customHeight="false" outlineLevel="0" collapsed="false">
      <c r="A145" s="19"/>
      <c r="B145" s="7"/>
      <c r="C145" s="7"/>
      <c r="D145" s="7"/>
      <c r="E145" s="17"/>
      <c r="F145" s="7"/>
      <c r="G145" s="7"/>
      <c r="H145" s="21" t="str">
        <f aca="false">IF(A145="","",MONTH(A145))</f>
        <v/>
      </c>
    </row>
    <row r="146" customFormat="false" ht="15" hidden="false" customHeight="false" outlineLevel="0" collapsed="false">
      <c r="A146" s="19"/>
      <c r="B146" s="7"/>
      <c r="C146" s="7"/>
      <c r="D146" s="7"/>
      <c r="E146" s="17"/>
      <c r="F146" s="7"/>
      <c r="G146" s="7"/>
      <c r="H146" s="21" t="str">
        <f aca="false">IF(A146="","",MONTH(A146))</f>
        <v/>
      </c>
    </row>
    <row r="147" customFormat="false" ht="15" hidden="false" customHeight="false" outlineLevel="0" collapsed="false">
      <c r="A147" s="19"/>
      <c r="B147" s="7"/>
      <c r="C147" s="7"/>
      <c r="D147" s="7"/>
      <c r="E147" s="17"/>
      <c r="F147" s="7"/>
      <c r="G147" s="7"/>
      <c r="H147" s="21" t="str">
        <f aca="false">IF(A147="","",MONTH(A147))</f>
        <v/>
      </c>
    </row>
    <row r="148" customFormat="false" ht="15" hidden="false" customHeight="false" outlineLevel="0" collapsed="false">
      <c r="A148" s="19"/>
      <c r="B148" s="7"/>
      <c r="C148" s="7"/>
      <c r="D148" s="7"/>
      <c r="E148" s="17"/>
      <c r="F148" s="7"/>
      <c r="G148" s="7"/>
      <c r="H148" s="21" t="str">
        <f aca="false">IF(A148="","",MONTH(A148))</f>
        <v/>
      </c>
    </row>
    <row r="149" customFormat="false" ht="15" hidden="false" customHeight="false" outlineLevel="0" collapsed="false">
      <c r="A149" s="19"/>
      <c r="B149" s="7"/>
      <c r="C149" s="7"/>
      <c r="D149" s="7"/>
      <c r="E149" s="17"/>
      <c r="F149" s="7"/>
      <c r="G149" s="7"/>
      <c r="H149" s="21" t="str">
        <f aca="false">IF(A149="","",MONTH(A149))</f>
        <v/>
      </c>
    </row>
    <row r="150" customFormat="false" ht="15" hidden="false" customHeight="false" outlineLevel="0" collapsed="false">
      <c r="A150" s="19"/>
      <c r="B150" s="7"/>
      <c r="C150" s="7"/>
      <c r="D150" s="7"/>
      <c r="E150" s="17"/>
      <c r="F150" s="7"/>
      <c r="G150" s="7"/>
      <c r="H150" s="21" t="str">
        <f aca="false">IF(A150="","",MONTH(A150))</f>
        <v/>
      </c>
    </row>
    <row r="151" customFormat="false" ht="15" hidden="false" customHeight="false" outlineLevel="0" collapsed="false">
      <c r="A151" s="19"/>
      <c r="B151" s="7"/>
      <c r="C151" s="7"/>
      <c r="D151" s="7"/>
      <c r="E151" s="17"/>
      <c r="F151" s="7"/>
      <c r="G151" s="7"/>
      <c r="H151" s="21" t="str">
        <f aca="false">IF(A151="","",MONTH(A151))</f>
        <v/>
      </c>
    </row>
    <row r="152" customFormat="false" ht="15" hidden="false" customHeight="false" outlineLevel="0" collapsed="false">
      <c r="A152" s="19"/>
      <c r="B152" s="7"/>
      <c r="C152" s="7"/>
      <c r="D152" s="7"/>
      <c r="E152" s="17"/>
      <c r="F152" s="7"/>
      <c r="G152" s="7"/>
      <c r="H152" s="21" t="str">
        <f aca="false">IF(A152="","",MONTH(A152))</f>
        <v/>
      </c>
    </row>
    <row r="153" customFormat="false" ht="15" hidden="false" customHeight="false" outlineLevel="0" collapsed="false">
      <c r="A153" s="19"/>
      <c r="B153" s="7"/>
      <c r="C153" s="7"/>
      <c r="D153" s="7"/>
      <c r="E153" s="17"/>
      <c r="F153" s="7"/>
      <c r="G153" s="7"/>
      <c r="H153" s="21" t="str">
        <f aca="false">IF(A153="","",MONTH(A153))</f>
        <v/>
      </c>
    </row>
    <row r="154" customFormat="false" ht="15" hidden="false" customHeight="false" outlineLevel="0" collapsed="false">
      <c r="A154" s="19"/>
      <c r="B154" s="7"/>
      <c r="C154" s="7"/>
      <c r="D154" s="7"/>
      <c r="E154" s="17"/>
      <c r="F154" s="7"/>
      <c r="G154" s="7"/>
      <c r="H154" s="21" t="str">
        <f aca="false">IF(A154="","",MONTH(A154))</f>
        <v/>
      </c>
    </row>
    <row r="155" customFormat="false" ht="15" hidden="false" customHeight="false" outlineLevel="0" collapsed="false">
      <c r="A155" s="19"/>
      <c r="B155" s="7"/>
      <c r="C155" s="7"/>
      <c r="D155" s="7"/>
      <c r="E155" s="17"/>
      <c r="F155" s="7"/>
      <c r="G155" s="7"/>
      <c r="H155" s="21" t="str">
        <f aca="false">IF(A155="","",MONTH(A155))</f>
        <v/>
      </c>
    </row>
    <row r="156" customFormat="false" ht="15" hidden="false" customHeight="false" outlineLevel="0" collapsed="false">
      <c r="A156" s="19"/>
      <c r="B156" s="7"/>
      <c r="C156" s="7"/>
      <c r="D156" s="7"/>
      <c r="E156" s="17"/>
      <c r="F156" s="7"/>
      <c r="G156" s="7"/>
      <c r="H156" s="21" t="str">
        <f aca="false">IF(A156="","",MONTH(A156))</f>
        <v/>
      </c>
    </row>
    <row r="157" customFormat="false" ht="15" hidden="false" customHeight="false" outlineLevel="0" collapsed="false">
      <c r="A157" s="19"/>
      <c r="B157" s="7"/>
      <c r="C157" s="7"/>
      <c r="D157" s="7"/>
      <c r="E157" s="17"/>
      <c r="F157" s="7"/>
      <c r="G157" s="7"/>
      <c r="H157" s="21" t="str">
        <f aca="false">IF(A157="","",MONTH(A157))</f>
        <v/>
      </c>
    </row>
    <row r="158" customFormat="false" ht="15" hidden="false" customHeight="false" outlineLevel="0" collapsed="false">
      <c r="A158" s="19"/>
      <c r="B158" s="7"/>
      <c r="C158" s="7"/>
      <c r="D158" s="7"/>
      <c r="E158" s="17"/>
      <c r="F158" s="7"/>
      <c r="G158" s="7"/>
      <c r="H158" s="21" t="str">
        <f aca="false">IF(A158="","",MONTH(A158))</f>
        <v/>
      </c>
    </row>
    <row r="159" customFormat="false" ht="15" hidden="false" customHeight="false" outlineLevel="0" collapsed="false">
      <c r="A159" s="19"/>
      <c r="B159" s="7"/>
      <c r="C159" s="7"/>
      <c r="D159" s="7"/>
      <c r="E159" s="17"/>
      <c r="F159" s="7"/>
      <c r="G159" s="7"/>
      <c r="H159" s="21" t="str">
        <f aca="false">IF(A159="","",MONTH(A159))</f>
        <v/>
      </c>
    </row>
    <row r="160" customFormat="false" ht="15" hidden="false" customHeight="false" outlineLevel="0" collapsed="false">
      <c r="A160" s="19"/>
      <c r="B160" s="7"/>
      <c r="C160" s="7"/>
      <c r="D160" s="7"/>
      <c r="E160" s="17"/>
      <c r="F160" s="7"/>
      <c r="G160" s="7"/>
      <c r="H160" s="21" t="str">
        <f aca="false">IF(A160="","",MONTH(A160))</f>
        <v/>
      </c>
    </row>
    <row r="161" customFormat="false" ht="15" hidden="false" customHeight="false" outlineLevel="0" collapsed="false">
      <c r="A161" s="19"/>
      <c r="B161" s="7"/>
      <c r="C161" s="7"/>
      <c r="D161" s="7"/>
      <c r="E161" s="17"/>
      <c r="F161" s="7"/>
      <c r="G161" s="7"/>
      <c r="H161" s="21" t="str">
        <f aca="false">IF(A161="","",MONTH(A161))</f>
        <v/>
      </c>
    </row>
    <row r="162" customFormat="false" ht="15" hidden="false" customHeight="false" outlineLevel="0" collapsed="false">
      <c r="A162" s="19"/>
      <c r="B162" s="7"/>
      <c r="C162" s="7"/>
      <c r="D162" s="7"/>
      <c r="E162" s="17"/>
      <c r="F162" s="7"/>
      <c r="G162" s="7"/>
      <c r="H162" s="21" t="str">
        <f aca="false">IF(A162="","",MONTH(A162))</f>
        <v/>
      </c>
    </row>
    <row r="163" customFormat="false" ht="15" hidden="false" customHeight="false" outlineLevel="0" collapsed="false">
      <c r="A163" s="19"/>
      <c r="B163" s="7"/>
      <c r="C163" s="7"/>
      <c r="D163" s="7"/>
      <c r="E163" s="17"/>
      <c r="F163" s="7"/>
      <c r="G163" s="7"/>
      <c r="H163" s="21" t="str">
        <f aca="false">IF(A163="","",MONTH(A163))</f>
        <v/>
      </c>
    </row>
    <row r="164" customFormat="false" ht="15" hidden="false" customHeight="false" outlineLevel="0" collapsed="false">
      <c r="A164" s="19"/>
      <c r="B164" s="7"/>
      <c r="C164" s="7"/>
      <c r="D164" s="7"/>
      <c r="E164" s="17"/>
      <c r="F164" s="7"/>
      <c r="G164" s="7"/>
      <c r="H164" s="21" t="str">
        <f aca="false">IF(A164="","",MONTH(A164))</f>
        <v/>
      </c>
    </row>
    <row r="165" customFormat="false" ht="15" hidden="false" customHeight="false" outlineLevel="0" collapsed="false">
      <c r="A165" s="19"/>
      <c r="B165" s="7"/>
      <c r="C165" s="7"/>
      <c r="D165" s="7"/>
      <c r="E165" s="17"/>
      <c r="F165" s="7"/>
      <c r="G165" s="7"/>
      <c r="H165" s="21" t="str">
        <f aca="false">IF(A165="","",MONTH(A165))</f>
        <v/>
      </c>
    </row>
    <row r="166" customFormat="false" ht="15" hidden="false" customHeight="false" outlineLevel="0" collapsed="false">
      <c r="A166" s="19"/>
      <c r="B166" s="7"/>
      <c r="C166" s="7"/>
      <c r="D166" s="7"/>
      <c r="E166" s="17"/>
      <c r="F166" s="7"/>
      <c r="G166" s="7"/>
      <c r="H166" s="21" t="str">
        <f aca="false">IF(A166="","",MONTH(A166))</f>
        <v/>
      </c>
    </row>
    <row r="167" customFormat="false" ht="15" hidden="false" customHeight="false" outlineLevel="0" collapsed="false">
      <c r="A167" s="19"/>
      <c r="B167" s="7"/>
      <c r="C167" s="7"/>
      <c r="D167" s="7"/>
      <c r="E167" s="17"/>
      <c r="F167" s="7"/>
      <c r="G167" s="7"/>
      <c r="H167" s="21" t="str">
        <f aca="false">IF(A167="","",MONTH(A167))</f>
        <v/>
      </c>
    </row>
    <row r="168" customFormat="false" ht="15" hidden="false" customHeight="false" outlineLevel="0" collapsed="false">
      <c r="A168" s="19"/>
      <c r="B168" s="7"/>
      <c r="C168" s="7"/>
      <c r="D168" s="7"/>
      <c r="E168" s="17"/>
      <c r="F168" s="7"/>
      <c r="G168" s="7"/>
      <c r="H168" s="21" t="str">
        <f aca="false">IF(A168="","",MONTH(A168))</f>
        <v/>
      </c>
    </row>
    <row r="169" customFormat="false" ht="15" hidden="false" customHeight="false" outlineLevel="0" collapsed="false">
      <c r="A169" s="19"/>
      <c r="B169" s="7"/>
      <c r="C169" s="7"/>
      <c r="D169" s="7"/>
      <c r="E169" s="17"/>
      <c r="F169" s="7"/>
      <c r="G169" s="7"/>
      <c r="H169" s="21" t="str">
        <f aca="false">IF(A169="","",MONTH(A169))</f>
        <v/>
      </c>
    </row>
    <row r="170" customFormat="false" ht="15" hidden="false" customHeight="false" outlineLevel="0" collapsed="false">
      <c r="A170" s="19"/>
      <c r="B170" s="7"/>
      <c r="C170" s="7"/>
      <c r="D170" s="7"/>
      <c r="E170" s="17"/>
      <c r="F170" s="7"/>
      <c r="G170" s="7"/>
      <c r="H170" s="21" t="str">
        <f aca="false">IF(A170="","",MONTH(A170))</f>
        <v/>
      </c>
    </row>
    <row r="171" customFormat="false" ht="15" hidden="false" customHeight="false" outlineLevel="0" collapsed="false">
      <c r="A171" s="19"/>
      <c r="B171" s="7"/>
      <c r="C171" s="7"/>
      <c r="D171" s="7"/>
      <c r="E171" s="17"/>
      <c r="F171" s="7"/>
      <c r="G171" s="7"/>
      <c r="H171" s="21" t="str">
        <f aca="false">IF(A171="","",MONTH(A171))</f>
        <v/>
      </c>
    </row>
    <row r="172" customFormat="false" ht="15" hidden="false" customHeight="false" outlineLevel="0" collapsed="false">
      <c r="A172" s="19"/>
      <c r="B172" s="7"/>
      <c r="C172" s="7"/>
      <c r="D172" s="7"/>
      <c r="E172" s="17"/>
      <c r="F172" s="7"/>
      <c r="G172" s="7"/>
      <c r="H172" s="21" t="str">
        <f aca="false">IF(A172="","",MONTH(A172))</f>
        <v/>
      </c>
    </row>
    <row r="173" customFormat="false" ht="15" hidden="false" customHeight="false" outlineLevel="0" collapsed="false">
      <c r="A173" s="19"/>
      <c r="B173" s="7"/>
      <c r="C173" s="7"/>
      <c r="D173" s="7"/>
      <c r="E173" s="17"/>
      <c r="F173" s="7"/>
      <c r="G173" s="7"/>
      <c r="H173" s="21" t="str">
        <f aca="false">IF(A173="","",MONTH(A173))</f>
        <v/>
      </c>
    </row>
    <row r="174" customFormat="false" ht="15" hidden="false" customHeight="false" outlineLevel="0" collapsed="false">
      <c r="A174" s="19"/>
      <c r="B174" s="7"/>
      <c r="C174" s="7"/>
      <c r="D174" s="7"/>
      <c r="E174" s="17"/>
      <c r="F174" s="7"/>
      <c r="G174" s="7"/>
      <c r="H174" s="21" t="str">
        <f aca="false">IF(A174="","",MONTH(A174))</f>
        <v/>
      </c>
    </row>
    <row r="175" customFormat="false" ht="15" hidden="false" customHeight="false" outlineLevel="0" collapsed="false">
      <c r="A175" s="19"/>
      <c r="B175" s="7"/>
      <c r="C175" s="7"/>
      <c r="D175" s="7"/>
      <c r="E175" s="17"/>
      <c r="F175" s="7"/>
      <c r="G175" s="7"/>
      <c r="H175" s="21" t="str">
        <f aca="false">IF(A175="","",MONTH(A175))</f>
        <v/>
      </c>
    </row>
    <row r="176" customFormat="false" ht="15" hidden="false" customHeight="false" outlineLevel="0" collapsed="false">
      <c r="A176" s="19"/>
      <c r="B176" s="7"/>
      <c r="C176" s="7"/>
      <c r="D176" s="7"/>
      <c r="E176" s="17"/>
      <c r="F176" s="7"/>
      <c r="G176" s="7"/>
      <c r="H176" s="21" t="str">
        <f aca="false">IF(A176="","",MONTH(A176))</f>
        <v/>
      </c>
    </row>
    <row r="177" customFormat="false" ht="15" hidden="false" customHeight="false" outlineLevel="0" collapsed="false">
      <c r="A177" s="19"/>
      <c r="B177" s="7"/>
      <c r="C177" s="7"/>
      <c r="D177" s="7"/>
      <c r="E177" s="17"/>
      <c r="F177" s="7"/>
      <c r="G177" s="7"/>
      <c r="H177" s="21" t="str">
        <f aca="false">IF(A177="","",MONTH(A177))</f>
        <v/>
      </c>
    </row>
    <row r="178" customFormat="false" ht="15" hidden="false" customHeight="false" outlineLevel="0" collapsed="false">
      <c r="A178" s="19"/>
      <c r="B178" s="7"/>
      <c r="C178" s="7"/>
      <c r="D178" s="7"/>
      <c r="E178" s="17"/>
      <c r="F178" s="7"/>
      <c r="G178" s="7"/>
      <c r="H178" s="21" t="str">
        <f aca="false">IF(A178="","",MONTH(A178))</f>
        <v/>
      </c>
    </row>
    <row r="179" customFormat="false" ht="15" hidden="false" customHeight="false" outlineLevel="0" collapsed="false">
      <c r="A179" s="19"/>
      <c r="B179" s="7"/>
      <c r="C179" s="7"/>
      <c r="D179" s="7"/>
      <c r="E179" s="17"/>
      <c r="F179" s="7"/>
      <c r="G179" s="7"/>
      <c r="H179" s="21" t="str">
        <f aca="false">IF(A179="","",MONTH(A179))</f>
        <v/>
      </c>
    </row>
    <row r="180" customFormat="false" ht="15" hidden="false" customHeight="false" outlineLevel="0" collapsed="false">
      <c r="A180" s="19"/>
      <c r="B180" s="7"/>
      <c r="C180" s="7"/>
      <c r="D180" s="7"/>
      <c r="E180" s="17"/>
      <c r="F180" s="7"/>
      <c r="G180" s="7"/>
      <c r="H180" s="21" t="str">
        <f aca="false">IF(A180="","",MONTH(A180))</f>
        <v/>
      </c>
    </row>
    <row r="181" customFormat="false" ht="15" hidden="false" customHeight="false" outlineLevel="0" collapsed="false">
      <c r="A181" s="19"/>
      <c r="B181" s="7"/>
      <c r="C181" s="7"/>
      <c r="D181" s="7"/>
      <c r="E181" s="17"/>
      <c r="F181" s="7"/>
      <c r="G181" s="7"/>
      <c r="H181" s="21" t="str">
        <f aca="false">IF(A181="","",MONTH(A181))</f>
        <v/>
      </c>
    </row>
    <row r="182" customFormat="false" ht="15" hidden="false" customHeight="false" outlineLevel="0" collapsed="false">
      <c r="A182" s="19"/>
      <c r="B182" s="7"/>
      <c r="C182" s="7"/>
      <c r="D182" s="7"/>
      <c r="E182" s="17"/>
      <c r="F182" s="7"/>
      <c r="G182" s="7"/>
      <c r="H182" s="21" t="str">
        <f aca="false">IF(A182="","",MONTH(A182))</f>
        <v/>
      </c>
    </row>
    <row r="183" customFormat="false" ht="15" hidden="false" customHeight="false" outlineLevel="0" collapsed="false">
      <c r="A183" s="19"/>
      <c r="B183" s="7"/>
      <c r="C183" s="7"/>
      <c r="D183" s="7"/>
      <c r="E183" s="17"/>
      <c r="F183" s="7"/>
      <c r="G183" s="7"/>
      <c r="H183" s="21" t="str">
        <f aca="false">IF(A183="","",MONTH(A183))</f>
        <v/>
      </c>
    </row>
    <row r="184" customFormat="false" ht="15" hidden="false" customHeight="false" outlineLevel="0" collapsed="false">
      <c r="A184" s="19"/>
      <c r="B184" s="7"/>
      <c r="C184" s="7"/>
      <c r="D184" s="7"/>
      <c r="E184" s="17"/>
      <c r="F184" s="7"/>
      <c r="G184" s="7"/>
      <c r="H184" s="21" t="str">
        <f aca="false">IF(A184="","",MONTH(A184))</f>
        <v/>
      </c>
    </row>
    <row r="185" customFormat="false" ht="15" hidden="false" customHeight="false" outlineLevel="0" collapsed="false">
      <c r="A185" s="19"/>
      <c r="B185" s="7"/>
      <c r="C185" s="7"/>
      <c r="D185" s="7"/>
      <c r="E185" s="17"/>
      <c r="F185" s="7"/>
      <c r="G185" s="7"/>
      <c r="H185" s="21" t="str">
        <f aca="false">IF(A185="","",MONTH(A185))</f>
        <v/>
      </c>
    </row>
    <row r="186" customFormat="false" ht="15" hidden="false" customHeight="false" outlineLevel="0" collapsed="false">
      <c r="A186" s="19"/>
      <c r="B186" s="7"/>
      <c r="C186" s="7"/>
      <c r="D186" s="7"/>
      <c r="E186" s="17"/>
      <c r="F186" s="7"/>
      <c r="G186" s="7"/>
      <c r="H186" s="21" t="str">
        <f aca="false">IF(A186="","",MONTH(A186))</f>
        <v/>
      </c>
    </row>
    <row r="187" customFormat="false" ht="15" hidden="false" customHeight="false" outlineLevel="0" collapsed="false">
      <c r="A187" s="19"/>
      <c r="B187" s="7"/>
      <c r="C187" s="7"/>
      <c r="D187" s="7"/>
      <c r="E187" s="17"/>
      <c r="F187" s="7"/>
      <c r="G187" s="7"/>
      <c r="H187" s="21" t="str">
        <f aca="false">IF(A187="","",MONTH(A187))</f>
        <v/>
      </c>
    </row>
    <row r="188" customFormat="false" ht="15" hidden="false" customHeight="false" outlineLevel="0" collapsed="false">
      <c r="A188" s="19"/>
      <c r="B188" s="7"/>
      <c r="C188" s="7"/>
      <c r="D188" s="7"/>
      <c r="E188" s="17"/>
      <c r="F188" s="7"/>
      <c r="G188" s="7"/>
      <c r="H188" s="21" t="str">
        <f aca="false">IF(A188="","",MONTH(A188))</f>
        <v/>
      </c>
    </row>
    <row r="189" customFormat="false" ht="15" hidden="false" customHeight="false" outlineLevel="0" collapsed="false">
      <c r="A189" s="19"/>
      <c r="B189" s="7"/>
      <c r="C189" s="7"/>
      <c r="D189" s="7"/>
      <c r="E189" s="17"/>
      <c r="F189" s="7"/>
      <c r="G189" s="7"/>
      <c r="H189" s="21" t="str">
        <f aca="false">IF(A189="","",MONTH(A189))</f>
        <v/>
      </c>
    </row>
    <row r="190" customFormat="false" ht="15" hidden="false" customHeight="false" outlineLevel="0" collapsed="false">
      <c r="A190" s="19"/>
      <c r="B190" s="7"/>
      <c r="C190" s="7"/>
      <c r="D190" s="7"/>
      <c r="E190" s="17"/>
      <c r="F190" s="7"/>
      <c r="G190" s="7"/>
      <c r="H190" s="21" t="str">
        <f aca="false">IF(A190="","",MONTH(A190))</f>
        <v/>
      </c>
    </row>
    <row r="191" customFormat="false" ht="15" hidden="false" customHeight="false" outlineLevel="0" collapsed="false">
      <c r="A191" s="19"/>
      <c r="B191" s="7"/>
      <c r="C191" s="7"/>
      <c r="D191" s="7"/>
      <c r="E191" s="17"/>
      <c r="F191" s="7"/>
      <c r="G191" s="7"/>
      <c r="H191" s="21" t="str">
        <f aca="false">IF(A191="","",MONTH(A191))</f>
        <v/>
      </c>
    </row>
    <row r="192" customFormat="false" ht="15" hidden="false" customHeight="false" outlineLevel="0" collapsed="false">
      <c r="A192" s="19"/>
      <c r="B192" s="7"/>
      <c r="C192" s="7"/>
      <c r="D192" s="7"/>
      <c r="E192" s="17"/>
      <c r="F192" s="7"/>
      <c r="G192" s="7"/>
      <c r="H192" s="21" t="str">
        <f aca="false">IF(A192="","",MONTH(A192))</f>
        <v/>
      </c>
    </row>
    <row r="193" customFormat="false" ht="15" hidden="false" customHeight="false" outlineLevel="0" collapsed="false">
      <c r="A193" s="19"/>
      <c r="B193" s="7"/>
      <c r="C193" s="7"/>
      <c r="D193" s="7"/>
      <c r="E193" s="17"/>
      <c r="F193" s="7"/>
      <c r="G193" s="7"/>
      <c r="H193" s="21" t="str">
        <f aca="false">IF(A193="","",MONTH(A193))</f>
        <v/>
      </c>
    </row>
    <row r="194" customFormat="false" ht="15" hidden="false" customHeight="false" outlineLevel="0" collapsed="false">
      <c r="A194" s="19"/>
      <c r="B194" s="7"/>
      <c r="C194" s="7"/>
      <c r="D194" s="7"/>
      <c r="E194" s="17"/>
      <c r="F194" s="7"/>
      <c r="G194" s="7"/>
      <c r="H194" s="21" t="str">
        <f aca="false">IF(A194="","",MONTH(A194))</f>
        <v/>
      </c>
    </row>
    <row r="195" customFormat="false" ht="15" hidden="false" customHeight="false" outlineLevel="0" collapsed="false">
      <c r="A195" s="19"/>
      <c r="B195" s="7"/>
      <c r="C195" s="7"/>
      <c r="D195" s="7"/>
      <c r="E195" s="17"/>
      <c r="F195" s="7"/>
      <c r="G195" s="7"/>
      <c r="H195" s="21" t="str">
        <f aca="false">IF(A195="","",MONTH(A195))</f>
        <v/>
      </c>
    </row>
    <row r="196" customFormat="false" ht="15" hidden="false" customHeight="false" outlineLevel="0" collapsed="false">
      <c r="A196" s="19"/>
      <c r="B196" s="7"/>
      <c r="C196" s="7"/>
      <c r="D196" s="7"/>
      <c r="E196" s="17"/>
      <c r="F196" s="7"/>
      <c r="G196" s="7"/>
      <c r="H196" s="21" t="str">
        <f aca="false">IF(A196="","",MONTH(A196))</f>
        <v/>
      </c>
    </row>
    <row r="197" customFormat="false" ht="15" hidden="false" customHeight="false" outlineLevel="0" collapsed="false">
      <c r="A197" s="19"/>
      <c r="B197" s="7"/>
      <c r="C197" s="7"/>
      <c r="D197" s="7"/>
      <c r="E197" s="17"/>
      <c r="F197" s="7"/>
      <c r="G197" s="7"/>
      <c r="H197" s="21" t="str">
        <f aca="false">IF(A197="","",MONTH(A197))</f>
        <v/>
      </c>
    </row>
    <row r="198" customFormat="false" ht="15" hidden="false" customHeight="false" outlineLevel="0" collapsed="false">
      <c r="A198" s="19"/>
      <c r="B198" s="7"/>
      <c r="C198" s="7"/>
      <c r="D198" s="7"/>
      <c r="E198" s="17"/>
      <c r="F198" s="7"/>
      <c r="G198" s="7"/>
      <c r="H198" s="21" t="str">
        <f aca="false">IF(A198="","",MONTH(A198))</f>
        <v/>
      </c>
    </row>
    <row r="199" customFormat="false" ht="15" hidden="false" customHeight="false" outlineLevel="0" collapsed="false">
      <c r="A199" s="19"/>
      <c r="B199" s="7"/>
      <c r="C199" s="7"/>
      <c r="D199" s="7"/>
      <c r="E199" s="17"/>
      <c r="F199" s="7"/>
      <c r="G199" s="7"/>
      <c r="H199" s="21" t="str">
        <f aca="false">IF(A199="","",MONTH(A199))</f>
        <v/>
      </c>
    </row>
    <row r="200" customFormat="false" ht="15" hidden="false" customHeight="false" outlineLevel="0" collapsed="false">
      <c r="A200" s="19"/>
      <c r="B200" s="7"/>
      <c r="C200" s="7"/>
      <c r="D200" s="7"/>
      <c r="E200" s="17"/>
      <c r="F200" s="7"/>
      <c r="G200" s="7"/>
      <c r="H200" s="21" t="str">
        <f aca="false">IF(A200="","",MONTH(A200))</f>
        <v/>
      </c>
    </row>
    <row r="201" customFormat="false" ht="15" hidden="false" customHeight="false" outlineLevel="0" collapsed="false">
      <c r="A201" s="19"/>
      <c r="B201" s="7"/>
      <c r="C201" s="7"/>
      <c r="D201" s="7"/>
      <c r="E201" s="17"/>
      <c r="F201" s="7"/>
      <c r="G201" s="7"/>
      <c r="H201" s="21" t="str">
        <f aca="false">IF(A201="","",MONTH(A201))</f>
        <v/>
      </c>
    </row>
    <row r="202" customFormat="false" ht="15" hidden="false" customHeight="false" outlineLevel="0" collapsed="false">
      <c r="A202" s="19"/>
      <c r="B202" s="7"/>
      <c r="C202" s="7"/>
      <c r="D202" s="7"/>
      <c r="E202" s="17"/>
      <c r="F202" s="7"/>
      <c r="G202" s="7"/>
      <c r="H202" s="21" t="str">
        <f aca="false">IF(A202="","",MONTH(A202))</f>
        <v/>
      </c>
    </row>
    <row r="203" customFormat="false" ht="15" hidden="false" customHeight="false" outlineLevel="0" collapsed="false">
      <c r="A203" s="19"/>
      <c r="B203" s="7"/>
      <c r="C203" s="7"/>
      <c r="D203" s="7"/>
      <c r="E203" s="17"/>
      <c r="F203" s="7"/>
      <c r="G203" s="7"/>
      <c r="H203" s="21" t="str">
        <f aca="false">IF(A203="","",MONTH(A203))</f>
        <v/>
      </c>
    </row>
    <row r="204" customFormat="false" ht="15" hidden="false" customHeight="false" outlineLevel="0" collapsed="false">
      <c r="A204" s="19"/>
      <c r="B204" s="7"/>
      <c r="C204" s="7"/>
      <c r="D204" s="7"/>
      <c r="E204" s="17"/>
      <c r="F204" s="7"/>
      <c r="G204" s="7"/>
      <c r="H204" s="21" t="str">
        <f aca="false">IF(A204="","",MONTH(A204))</f>
        <v/>
      </c>
    </row>
    <row r="205" customFormat="false" ht="15" hidden="false" customHeight="false" outlineLevel="0" collapsed="false">
      <c r="A205" s="19"/>
      <c r="B205" s="7"/>
      <c r="C205" s="7"/>
      <c r="D205" s="7"/>
      <c r="E205" s="17"/>
      <c r="F205" s="7"/>
      <c r="G205" s="7"/>
      <c r="H205" s="21" t="str">
        <f aca="false">IF(A205="","",MONTH(A205))</f>
        <v/>
      </c>
    </row>
    <row r="206" customFormat="false" ht="15" hidden="false" customHeight="false" outlineLevel="0" collapsed="false">
      <c r="A206" s="19"/>
      <c r="B206" s="7"/>
      <c r="C206" s="7"/>
      <c r="D206" s="7"/>
      <c r="E206" s="17"/>
      <c r="F206" s="7"/>
      <c r="G206" s="7"/>
      <c r="H206" s="21" t="str">
        <f aca="false">IF(A206="","",MONTH(A206))</f>
        <v/>
      </c>
    </row>
    <row r="207" customFormat="false" ht="15" hidden="false" customHeight="false" outlineLevel="0" collapsed="false">
      <c r="A207" s="19"/>
      <c r="B207" s="7"/>
      <c r="C207" s="7"/>
      <c r="D207" s="7"/>
      <c r="E207" s="17"/>
      <c r="F207" s="7"/>
      <c r="G207" s="7"/>
      <c r="H207" s="21" t="str">
        <f aca="false">IF(A207="","",MONTH(A207))</f>
        <v/>
      </c>
    </row>
    <row r="208" customFormat="false" ht="15" hidden="false" customHeight="false" outlineLevel="0" collapsed="false">
      <c r="A208" s="19"/>
      <c r="B208" s="7"/>
      <c r="C208" s="7"/>
      <c r="D208" s="7"/>
      <c r="E208" s="17"/>
      <c r="F208" s="7"/>
      <c r="G208" s="7"/>
      <c r="H208" s="21" t="str">
        <f aca="false">IF(A208="","",MONTH(A208))</f>
        <v/>
      </c>
    </row>
    <row r="209" customFormat="false" ht="15" hidden="false" customHeight="false" outlineLevel="0" collapsed="false">
      <c r="A209" s="19"/>
      <c r="B209" s="7"/>
      <c r="C209" s="7"/>
      <c r="D209" s="7"/>
      <c r="E209" s="17"/>
      <c r="F209" s="7"/>
      <c r="G209" s="7"/>
      <c r="H209" s="21" t="str">
        <f aca="false">IF(A209="","",MONTH(A209))</f>
        <v/>
      </c>
    </row>
    <row r="210" customFormat="false" ht="15" hidden="false" customHeight="false" outlineLevel="0" collapsed="false">
      <c r="A210" s="19"/>
      <c r="B210" s="7"/>
      <c r="C210" s="7"/>
      <c r="D210" s="7"/>
      <c r="E210" s="17"/>
      <c r="F210" s="7"/>
      <c r="G210" s="7"/>
      <c r="H210" s="21" t="str">
        <f aca="false">IF(A210="","",MONTH(A210))</f>
        <v/>
      </c>
    </row>
    <row r="211" customFormat="false" ht="15" hidden="false" customHeight="false" outlineLevel="0" collapsed="false">
      <c r="A211" s="19"/>
      <c r="B211" s="7"/>
      <c r="C211" s="7"/>
      <c r="D211" s="7"/>
      <c r="E211" s="17"/>
      <c r="F211" s="7"/>
      <c r="G211" s="7"/>
      <c r="H211" s="21" t="str">
        <f aca="false">IF(A211="","",MONTH(A211))</f>
        <v/>
      </c>
    </row>
    <row r="212" customFormat="false" ht="15" hidden="false" customHeight="false" outlineLevel="0" collapsed="false">
      <c r="A212" s="19"/>
      <c r="B212" s="7"/>
      <c r="C212" s="7"/>
      <c r="D212" s="7"/>
      <c r="E212" s="17"/>
      <c r="F212" s="7"/>
      <c r="G212" s="7"/>
      <c r="H212" s="21" t="str">
        <f aca="false">IF(A212="","",MONTH(A212))</f>
        <v/>
      </c>
    </row>
    <row r="213" customFormat="false" ht="15" hidden="false" customHeight="false" outlineLevel="0" collapsed="false">
      <c r="A213" s="19"/>
      <c r="B213" s="7"/>
      <c r="C213" s="7"/>
      <c r="D213" s="7"/>
      <c r="E213" s="17"/>
      <c r="F213" s="7"/>
      <c r="G213" s="7"/>
      <c r="H213" s="21" t="str">
        <f aca="false">IF(A213="","",MONTH(A213))</f>
        <v/>
      </c>
    </row>
    <row r="214" customFormat="false" ht="15" hidden="false" customHeight="false" outlineLevel="0" collapsed="false">
      <c r="A214" s="19"/>
      <c r="B214" s="7"/>
      <c r="C214" s="7"/>
      <c r="D214" s="7"/>
      <c r="E214" s="17"/>
      <c r="F214" s="7"/>
      <c r="G214" s="7"/>
      <c r="H214" s="21" t="str">
        <f aca="false">IF(A214="","",MONTH(A214))</f>
        <v/>
      </c>
    </row>
    <row r="215" customFormat="false" ht="15" hidden="false" customHeight="false" outlineLevel="0" collapsed="false">
      <c r="A215" s="19"/>
      <c r="B215" s="7"/>
      <c r="C215" s="7"/>
      <c r="D215" s="7"/>
      <c r="E215" s="17"/>
      <c r="F215" s="7"/>
      <c r="G215" s="7"/>
      <c r="H215" s="21" t="str">
        <f aca="false">IF(A215="","",MONTH(A215))</f>
        <v/>
      </c>
    </row>
    <row r="216" customFormat="false" ht="15" hidden="false" customHeight="false" outlineLevel="0" collapsed="false">
      <c r="A216" s="19"/>
      <c r="B216" s="7"/>
      <c r="C216" s="7"/>
      <c r="D216" s="7"/>
      <c r="E216" s="17"/>
      <c r="F216" s="7"/>
      <c r="G216" s="7"/>
      <c r="H216" s="21" t="str">
        <f aca="false">IF(A216="","",MONTH(A216))</f>
        <v/>
      </c>
    </row>
    <row r="217" customFormat="false" ht="15" hidden="false" customHeight="false" outlineLevel="0" collapsed="false">
      <c r="A217" s="19"/>
      <c r="B217" s="7"/>
      <c r="C217" s="7"/>
      <c r="D217" s="7"/>
      <c r="E217" s="17"/>
      <c r="F217" s="7"/>
      <c r="G217" s="7"/>
      <c r="H217" s="21" t="str">
        <f aca="false">IF(A217="","",MONTH(A217))</f>
        <v/>
      </c>
    </row>
    <row r="218" customFormat="false" ht="15" hidden="false" customHeight="false" outlineLevel="0" collapsed="false">
      <c r="A218" s="19"/>
      <c r="B218" s="7"/>
      <c r="C218" s="7"/>
      <c r="D218" s="7"/>
      <c r="E218" s="17"/>
      <c r="F218" s="7"/>
      <c r="G218" s="7"/>
      <c r="H218" s="21" t="str">
        <f aca="false">IF(A218="","",MONTH(A218))</f>
        <v/>
      </c>
    </row>
    <row r="219" customFormat="false" ht="15" hidden="false" customHeight="false" outlineLevel="0" collapsed="false">
      <c r="A219" s="19"/>
      <c r="B219" s="7"/>
      <c r="C219" s="7"/>
      <c r="D219" s="7"/>
      <c r="E219" s="17"/>
      <c r="F219" s="7"/>
      <c r="G219" s="7"/>
      <c r="H219" s="21" t="str">
        <f aca="false">IF(A219="","",MONTH(A219))</f>
        <v/>
      </c>
    </row>
    <row r="220" customFormat="false" ht="15" hidden="false" customHeight="false" outlineLevel="0" collapsed="false">
      <c r="A220" s="19"/>
      <c r="B220" s="7"/>
      <c r="C220" s="7"/>
      <c r="D220" s="7"/>
      <c r="E220" s="17"/>
      <c r="F220" s="7"/>
      <c r="G220" s="7"/>
      <c r="H220" s="21" t="str">
        <f aca="false">IF(A220="","",MONTH(A220))</f>
        <v/>
      </c>
    </row>
    <row r="221" customFormat="false" ht="15" hidden="false" customHeight="false" outlineLevel="0" collapsed="false">
      <c r="A221" s="19"/>
      <c r="B221" s="7"/>
      <c r="C221" s="7"/>
      <c r="D221" s="7"/>
      <c r="E221" s="17"/>
      <c r="F221" s="7"/>
      <c r="G221" s="7"/>
      <c r="H221" s="21" t="str">
        <f aca="false">IF(A221="","",MONTH(A221))</f>
        <v/>
      </c>
    </row>
    <row r="222" customFormat="false" ht="15" hidden="false" customHeight="false" outlineLevel="0" collapsed="false">
      <c r="A222" s="19"/>
      <c r="B222" s="7"/>
      <c r="C222" s="7"/>
      <c r="D222" s="7"/>
      <c r="E222" s="17"/>
      <c r="F222" s="7"/>
      <c r="G222" s="7"/>
      <c r="H222" s="21" t="str">
        <f aca="false">IF(A222="","",MONTH(A222))</f>
        <v/>
      </c>
    </row>
    <row r="223" customFormat="false" ht="15" hidden="false" customHeight="false" outlineLevel="0" collapsed="false">
      <c r="A223" s="19"/>
      <c r="B223" s="7"/>
      <c r="C223" s="7"/>
      <c r="D223" s="7"/>
      <c r="E223" s="17"/>
      <c r="F223" s="7"/>
      <c r="G223" s="7"/>
      <c r="H223" s="21" t="str">
        <f aca="false">IF(A223="","",MONTH(A223))</f>
        <v/>
      </c>
    </row>
    <row r="224" customFormat="false" ht="15" hidden="false" customHeight="false" outlineLevel="0" collapsed="false">
      <c r="A224" s="19"/>
      <c r="B224" s="7"/>
      <c r="C224" s="7"/>
      <c r="D224" s="7"/>
      <c r="E224" s="17"/>
      <c r="F224" s="7"/>
      <c r="G224" s="7"/>
      <c r="H224" s="21" t="str">
        <f aca="false">IF(A224="","",MONTH(A224))</f>
        <v/>
      </c>
    </row>
    <row r="225" customFormat="false" ht="15" hidden="false" customHeight="false" outlineLevel="0" collapsed="false">
      <c r="A225" s="19"/>
      <c r="B225" s="7"/>
      <c r="C225" s="7"/>
      <c r="D225" s="7"/>
      <c r="E225" s="17"/>
      <c r="F225" s="7"/>
      <c r="G225" s="7"/>
      <c r="H225" s="21" t="str">
        <f aca="false">IF(A225="","",MONTH(A225))</f>
        <v/>
      </c>
    </row>
    <row r="226" customFormat="false" ht="15" hidden="false" customHeight="false" outlineLevel="0" collapsed="false">
      <c r="A226" s="19"/>
      <c r="B226" s="7"/>
      <c r="C226" s="7"/>
      <c r="D226" s="7"/>
      <c r="E226" s="17"/>
      <c r="F226" s="7"/>
      <c r="G226" s="7"/>
      <c r="H226" s="21" t="str">
        <f aca="false">IF(A226="","",MONTH(A226))</f>
        <v/>
      </c>
    </row>
    <row r="227" customFormat="false" ht="15" hidden="false" customHeight="false" outlineLevel="0" collapsed="false">
      <c r="A227" s="19"/>
      <c r="B227" s="7"/>
      <c r="C227" s="7"/>
      <c r="D227" s="7"/>
      <c r="E227" s="17"/>
      <c r="F227" s="7"/>
      <c r="G227" s="7"/>
      <c r="H227" s="21" t="str">
        <f aca="false">IF(A227="","",MONTH(A227))</f>
        <v/>
      </c>
    </row>
    <row r="228" customFormat="false" ht="15" hidden="false" customHeight="false" outlineLevel="0" collapsed="false">
      <c r="A228" s="19"/>
      <c r="B228" s="7"/>
      <c r="C228" s="7"/>
      <c r="D228" s="7"/>
      <c r="E228" s="17"/>
      <c r="F228" s="7"/>
      <c r="G228" s="7"/>
      <c r="H228" s="21" t="str">
        <f aca="false">IF(A228="","",MONTH(A228))</f>
        <v/>
      </c>
    </row>
    <row r="229" customFormat="false" ht="15" hidden="false" customHeight="false" outlineLevel="0" collapsed="false">
      <c r="A229" s="19"/>
      <c r="B229" s="7"/>
      <c r="C229" s="7"/>
      <c r="D229" s="7"/>
      <c r="E229" s="17"/>
      <c r="F229" s="7"/>
      <c r="G229" s="7"/>
      <c r="H229" s="21" t="str">
        <f aca="false">IF(A229="","",MONTH(A229))</f>
        <v/>
      </c>
    </row>
    <row r="230" customFormat="false" ht="15" hidden="false" customHeight="false" outlineLevel="0" collapsed="false">
      <c r="A230" s="19"/>
      <c r="B230" s="7"/>
      <c r="C230" s="7"/>
      <c r="D230" s="7"/>
      <c r="E230" s="17"/>
      <c r="F230" s="7"/>
      <c r="G230" s="7"/>
      <c r="H230" s="21" t="str">
        <f aca="false">IF(A230="","",MONTH(A230))</f>
        <v/>
      </c>
    </row>
    <row r="231" customFormat="false" ht="15" hidden="false" customHeight="false" outlineLevel="0" collapsed="false">
      <c r="A231" s="19"/>
      <c r="B231" s="7"/>
      <c r="C231" s="7"/>
      <c r="D231" s="7"/>
      <c r="E231" s="17"/>
      <c r="F231" s="7"/>
      <c r="G231" s="7"/>
      <c r="H231" s="21" t="str">
        <f aca="false">IF(A231="","",MONTH(A231))</f>
        <v/>
      </c>
    </row>
    <row r="232" customFormat="false" ht="15" hidden="false" customHeight="false" outlineLevel="0" collapsed="false">
      <c r="A232" s="19"/>
      <c r="B232" s="7"/>
      <c r="C232" s="7"/>
      <c r="D232" s="7"/>
      <c r="E232" s="17"/>
      <c r="F232" s="7"/>
      <c r="G232" s="7"/>
      <c r="H232" s="21" t="str">
        <f aca="false">IF(A232="","",MONTH(A232))</f>
        <v/>
      </c>
    </row>
    <row r="233" customFormat="false" ht="15" hidden="false" customHeight="false" outlineLevel="0" collapsed="false">
      <c r="A233" s="19"/>
      <c r="B233" s="7"/>
      <c r="C233" s="7"/>
      <c r="D233" s="7"/>
      <c r="E233" s="17"/>
      <c r="F233" s="7"/>
      <c r="G233" s="7"/>
      <c r="H233" s="21" t="str">
        <f aca="false">IF(A233="","",MONTH(A233))</f>
        <v/>
      </c>
    </row>
    <row r="234" customFormat="false" ht="15" hidden="false" customHeight="false" outlineLevel="0" collapsed="false">
      <c r="A234" s="19"/>
      <c r="B234" s="7"/>
      <c r="C234" s="7"/>
      <c r="D234" s="7"/>
      <c r="E234" s="17"/>
      <c r="F234" s="7"/>
      <c r="G234" s="7"/>
      <c r="H234" s="21" t="str">
        <f aca="false">IF(A234="","",MONTH(A234))</f>
        <v/>
      </c>
    </row>
    <row r="235" customFormat="false" ht="15" hidden="false" customHeight="false" outlineLevel="0" collapsed="false">
      <c r="A235" s="19"/>
      <c r="B235" s="7"/>
      <c r="C235" s="7"/>
      <c r="D235" s="7"/>
      <c r="E235" s="17"/>
      <c r="F235" s="7"/>
      <c r="G235" s="7"/>
      <c r="H235" s="21" t="str">
        <f aca="false">IF(A235="","",MONTH(A235))</f>
        <v/>
      </c>
    </row>
    <row r="236" customFormat="false" ht="15" hidden="false" customHeight="false" outlineLevel="0" collapsed="false">
      <c r="A236" s="19"/>
      <c r="B236" s="7"/>
      <c r="C236" s="7"/>
      <c r="D236" s="7"/>
      <c r="E236" s="17"/>
      <c r="F236" s="7"/>
      <c r="G236" s="7"/>
      <c r="H236" s="21" t="str">
        <f aca="false">IF(A236="","",MONTH(A236))</f>
        <v/>
      </c>
    </row>
    <row r="237" customFormat="false" ht="15" hidden="false" customHeight="false" outlineLevel="0" collapsed="false">
      <c r="A237" s="19"/>
      <c r="B237" s="7"/>
      <c r="C237" s="7"/>
      <c r="D237" s="7"/>
      <c r="E237" s="17"/>
      <c r="F237" s="7"/>
      <c r="G237" s="7"/>
      <c r="H237" s="21" t="str">
        <f aca="false">IF(A237="","",MONTH(A237))</f>
        <v/>
      </c>
    </row>
    <row r="238" customFormat="false" ht="15" hidden="false" customHeight="false" outlineLevel="0" collapsed="false">
      <c r="A238" s="19"/>
      <c r="B238" s="7"/>
      <c r="C238" s="7"/>
      <c r="D238" s="7"/>
      <c r="E238" s="17"/>
      <c r="F238" s="7"/>
      <c r="G238" s="7"/>
      <c r="H238" s="21" t="str">
        <f aca="false">IF(A238="","",MONTH(A238))</f>
        <v/>
      </c>
    </row>
    <row r="239" customFormat="false" ht="15" hidden="false" customHeight="false" outlineLevel="0" collapsed="false">
      <c r="A239" s="19"/>
      <c r="B239" s="7"/>
      <c r="C239" s="7"/>
      <c r="D239" s="7"/>
      <c r="E239" s="17"/>
      <c r="F239" s="7"/>
      <c r="G239" s="7"/>
      <c r="H239" s="21" t="str">
        <f aca="false">IF(A239="","",MONTH(A239))</f>
        <v/>
      </c>
    </row>
    <row r="240" customFormat="false" ht="15" hidden="false" customHeight="false" outlineLevel="0" collapsed="false">
      <c r="A240" s="19"/>
      <c r="B240" s="7"/>
      <c r="C240" s="7"/>
      <c r="D240" s="7"/>
      <c r="E240" s="17"/>
      <c r="F240" s="7"/>
      <c r="G240" s="7"/>
      <c r="H240" s="21" t="str">
        <f aca="false">IF(A240="","",MONTH(A240))</f>
        <v/>
      </c>
    </row>
    <row r="241" customFormat="false" ht="15" hidden="false" customHeight="false" outlineLevel="0" collapsed="false">
      <c r="A241" s="19"/>
      <c r="B241" s="7"/>
      <c r="C241" s="7"/>
      <c r="D241" s="7"/>
      <c r="E241" s="17"/>
      <c r="F241" s="7"/>
      <c r="G241" s="7"/>
      <c r="H241" s="21" t="str">
        <f aca="false">IF(A241="","",MONTH(A241))</f>
        <v/>
      </c>
    </row>
    <row r="242" customFormat="false" ht="15" hidden="false" customHeight="false" outlineLevel="0" collapsed="false">
      <c r="A242" s="19"/>
      <c r="B242" s="7"/>
      <c r="C242" s="7"/>
      <c r="D242" s="7"/>
      <c r="E242" s="17"/>
      <c r="F242" s="7"/>
      <c r="G242" s="7"/>
      <c r="H242" s="21" t="str">
        <f aca="false">IF(A242="","",MONTH(A242))</f>
        <v/>
      </c>
    </row>
    <row r="243" customFormat="false" ht="15" hidden="false" customHeight="false" outlineLevel="0" collapsed="false">
      <c r="A243" s="19"/>
      <c r="B243" s="7"/>
      <c r="C243" s="7"/>
      <c r="D243" s="7"/>
      <c r="E243" s="17"/>
      <c r="F243" s="7"/>
      <c r="G243" s="7"/>
      <c r="H243" s="21" t="str">
        <f aca="false">IF(A243="","",MONTH(A243))</f>
        <v/>
      </c>
    </row>
    <row r="244" customFormat="false" ht="15" hidden="false" customHeight="false" outlineLevel="0" collapsed="false">
      <c r="A244" s="19"/>
      <c r="B244" s="7"/>
      <c r="C244" s="7"/>
      <c r="D244" s="7"/>
      <c r="E244" s="17"/>
      <c r="F244" s="7"/>
      <c r="G244" s="7"/>
      <c r="H244" s="21" t="str">
        <f aca="false">IF(A244="","",MONTH(A244))</f>
        <v/>
      </c>
    </row>
    <row r="245" customFormat="false" ht="15" hidden="false" customHeight="false" outlineLevel="0" collapsed="false">
      <c r="A245" s="19"/>
      <c r="B245" s="7"/>
      <c r="C245" s="7"/>
      <c r="D245" s="7"/>
      <c r="E245" s="17"/>
      <c r="F245" s="7"/>
      <c r="G245" s="7"/>
      <c r="H245" s="21" t="str">
        <f aca="false">IF(A245="","",MONTH(A245))</f>
        <v/>
      </c>
    </row>
    <row r="246" customFormat="false" ht="15" hidden="false" customHeight="false" outlineLevel="0" collapsed="false">
      <c r="A246" s="19"/>
      <c r="B246" s="7"/>
      <c r="C246" s="7"/>
      <c r="D246" s="7"/>
      <c r="E246" s="17"/>
      <c r="F246" s="7"/>
      <c r="G246" s="7"/>
      <c r="H246" s="21" t="str">
        <f aca="false">IF(A246="","",MONTH(A246))</f>
        <v/>
      </c>
    </row>
    <row r="247" customFormat="false" ht="15" hidden="false" customHeight="false" outlineLevel="0" collapsed="false">
      <c r="A247" s="19"/>
      <c r="B247" s="7"/>
      <c r="C247" s="7"/>
      <c r="D247" s="7"/>
      <c r="E247" s="17"/>
      <c r="F247" s="7"/>
      <c r="G247" s="7"/>
      <c r="H247" s="21" t="str">
        <f aca="false">IF(A247="","",MONTH(A247))</f>
        <v/>
      </c>
    </row>
    <row r="248" customFormat="false" ht="15" hidden="false" customHeight="false" outlineLevel="0" collapsed="false">
      <c r="A248" s="19"/>
      <c r="B248" s="7"/>
      <c r="C248" s="7"/>
      <c r="D248" s="7"/>
      <c r="E248" s="17"/>
      <c r="F248" s="7"/>
      <c r="G248" s="7"/>
      <c r="H248" s="21" t="str">
        <f aca="false">IF(A248="","",MONTH(A248))</f>
        <v/>
      </c>
    </row>
    <row r="249" customFormat="false" ht="15" hidden="false" customHeight="false" outlineLevel="0" collapsed="false">
      <c r="A249" s="19"/>
      <c r="B249" s="7"/>
      <c r="C249" s="7"/>
      <c r="D249" s="7"/>
      <c r="E249" s="17"/>
      <c r="F249" s="7"/>
      <c r="G249" s="7"/>
      <c r="H249" s="21" t="str">
        <f aca="false">IF(A249="","",MONTH(A249))</f>
        <v/>
      </c>
    </row>
    <row r="250" customFormat="false" ht="15" hidden="false" customHeight="false" outlineLevel="0" collapsed="false">
      <c r="A250" s="19"/>
      <c r="B250" s="7"/>
      <c r="C250" s="7"/>
      <c r="D250" s="7"/>
      <c r="E250" s="17"/>
      <c r="F250" s="7"/>
      <c r="G250" s="7"/>
      <c r="H250" s="21" t="str">
        <f aca="false">IF(A250="","",MONTH(A250))</f>
        <v/>
      </c>
    </row>
    <row r="251" customFormat="false" ht="15" hidden="false" customHeight="false" outlineLevel="0" collapsed="false">
      <c r="A251" s="19"/>
      <c r="B251" s="7"/>
      <c r="C251" s="7"/>
      <c r="D251" s="7"/>
      <c r="E251" s="17"/>
      <c r="F251" s="7"/>
      <c r="G251" s="7"/>
      <c r="H251" s="21" t="str">
        <f aca="false">IF(A251="","",MONTH(A251))</f>
        <v/>
      </c>
    </row>
    <row r="252" customFormat="false" ht="15" hidden="false" customHeight="false" outlineLevel="0" collapsed="false">
      <c r="A252" s="19"/>
      <c r="B252" s="7"/>
      <c r="C252" s="7"/>
      <c r="D252" s="7"/>
      <c r="E252" s="17"/>
      <c r="F252" s="7"/>
      <c r="G252" s="7"/>
      <c r="H252" s="21" t="str">
        <f aca="false">IF(A252="","",MONTH(A252))</f>
        <v/>
      </c>
    </row>
    <row r="253" customFormat="false" ht="15" hidden="false" customHeight="false" outlineLevel="0" collapsed="false">
      <c r="A253" s="19"/>
      <c r="B253" s="7"/>
      <c r="C253" s="7"/>
      <c r="D253" s="7"/>
      <c r="E253" s="17"/>
      <c r="F253" s="7"/>
      <c r="G253" s="7"/>
      <c r="H253" s="21" t="str">
        <f aca="false">IF(A253="","",MONTH(A253))</f>
        <v/>
      </c>
    </row>
    <row r="254" customFormat="false" ht="15" hidden="false" customHeight="false" outlineLevel="0" collapsed="false">
      <c r="A254" s="19"/>
      <c r="B254" s="7"/>
      <c r="C254" s="7"/>
      <c r="D254" s="7"/>
      <c r="E254" s="17"/>
      <c r="F254" s="7"/>
      <c r="G254" s="7"/>
      <c r="H254" s="21" t="str">
        <f aca="false">IF(A254="","",MONTH(A254))</f>
        <v/>
      </c>
    </row>
    <row r="255" customFormat="false" ht="15" hidden="false" customHeight="false" outlineLevel="0" collapsed="false">
      <c r="A255" s="19"/>
      <c r="B255" s="7"/>
      <c r="C255" s="7"/>
      <c r="D255" s="7"/>
      <c r="E255" s="17"/>
      <c r="F255" s="7"/>
      <c r="G255" s="7"/>
      <c r="H255" s="21" t="str">
        <f aca="false">IF(A255="","",MONTH(A255))</f>
        <v/>
      </c>
    </row>
    <row r="256" customFormat="false" ht="15" hidden="false" customHeight="false" outlineLevel="0" collapsed="false">
      <c r="A256" s="19"/>
      <c r="B256" s="7"/>
      <c r="C256" s="7"/>
      <c r="D256" s="7"/>
      <c r="E256" s="17"/>
      <c r="F256" s="7"/>
      <c r="G256" s="7"/>
      <c r="H256" s="21" t="str">
        <f aca="false">IF(A256="","",MONTH(A256))</f>
        <v/>
      </c>
    </row>
    <row r="257" customFormat="false" ht="15" hidden="false" customHeight="false" outlineLevel="0" collapsed="false">
      <c r="A257" s="19"/>
      <c r="B257" s="7"/>
      <c r="C257" s="7"/>
      <c r="D257" s="7"/>
      <c r="E257" s="17"/>
      <c r="F257" s="7"/>
      <c r="G257" s="7"/>
      <c r="H257" s="21" t="str">
        <f aca="false">IF(A257="","",MONTH(A257))</f>
        <v/>
      </c>
    </row>
    <row r="258" customFormat="false" ht="15" hidden="false" customHeight="false" outlineLevel="0" collapsed="false">
      <c r="A258" s="19"/>
      <c r="B258" s="7"/>
      <c r="C258" s="7"/>
      <c r="D258" s="7"/>
      <c r="E258" s="17"/>
      <c r="F258" s="7"/>
      <c r="G258" s="7"/>
      <c r="H258" s="21" t="str">
        <f aca="false">IF(A258="","",MONTH(A258))</f>
        <v/>
      </c>
    </row>
    <row r="259" customFormat="false" ht="15" hidden="false" customHeight="false" outlineLevel="0" collapsed="false">
      <c r="A259" s="19"/>
      <c r="B259" s="7"/>
      <c r="C259" s="7"/>
      <c r="D259" s="7"/>
      <c r="E259" s="17"/>
      <c r="F259" s="7"/>
      <c r="G259" s="7"/>
      <c r="H259" s="21" t="str">
        <f aca="false">IF(A259="","",MONTH(A259))</f>
        <v/>
      </c>
    </row>
    <row r="260" customFormat="false" ht="15" hidden="false" customHeight="false" outlineLevel="0" collapsed="false">
      <c r="A260" s="19"/>
      <c r="B260" s="7"/>
      <c r="C260" s="7"/>
      <c r="D260" s="7"/>
      <c r="E260" s="17"/>
      <c r="F260" s="7"/>
      <c r="G260" s="7"/>
      <c r="H260" s="21" t="str">
        <f aca="false">IF(A260="","",MONTH(A260))</f>
        <v/>
      </c>
    </row>
    <row r="261" customFormat="false" ht="15" hidden="false" customHeight="false" outlineLevel="0" collapsed="false">
      <c r="A261" s="19"/>
      <c r="B261" s="7"/>
      <c r="C261" s="7"/>
      <c r="D261" s="7"/>
      <c r="E261" s="17"/>
      <c r="F261" s="7"/>
      <c r="G261" s="7"/>
      <c r="H261" s="21" t="str">
        <f aca="false">IF(A261="","",MONTH(A261))</f>
        <v/>
      </c>
    </row>
    <row r="262" customFormat="false" ht="15" hidden="false" customHeight="false" outlineLevel="0" collapsed="false">
      <c r="A262" s="19"/>
      <c r="B262" s="7"/>
      <c r="C262" s="7"/>
      <c r="D262" s="7"/>
      <c r="E262" s="17"/>
      <c r="F262" s="7"/>
      <c r="G262" s="7"/>
      <c r="H262" s="21" t="str">
        <f aca="false">IF(A262="","",MONTH(A262))</f>
        <v/>
      </c>
    </row>
    <row r="263" customFormat="false" ht="15" hidden="false" customHeight="false" outlineLevel="0" collapsed="false">
      <c r="A263" s="19"/>
      <c r="B263" s="7"/>
      <c r="C263" s="7"/>
      <c r="D263" s="7"/>
      <c r="E263" s="17"/>
      <c r="F263" s="7"/>
      <c r="G263" s="7"/>
      <c r="H263" s="21" t="str">
        <f aca="false">IF(A263="","",MONTH(A263))</f>
        <v/>
      </c>
    </row>
    <row r="264" customFormat="false" ht="15" hidden="false" customHeight="false" outlineLevel="0" collapsed="false">
      <c r="A264" s="19"/>
      <c r="B264" s="7"/>
      <c r="C264" s="7"/>
      <c r="D264" s="7"/>
      <c r="E264" s="17"/>
      <c r="F264" s="7"/>
      <c r="G264" s="7"/>
      <c r="H264" s="21" t="str">
        <f aca="false">IF(A264="","",MONTH(A264))</f>
        <v/>
      </c>
    </row>
    <row r="265" customFormat="false" ht="15" hidden="false" customHeight="false" outlineLevel="0" collapsed="false">
      <c r="A265" s="19"/>
      <c r="B265" s="7"/>
      <c r="C265" s="7"/>
      <c r="D265" s="7"/>
      <c r="E265" s="17"/>
      <c r="F265" s="7"/>
      <c r="G265" s="7"/>
      <c r="H265" s="21" t="str">
        <f aca="false">IF(A265="","",MONTH(A265))</f>
        <v/>
      </c>
    </row>
    <row r="266" customFormat="false" ht="15" hidden="false" customHeight="false" outlineLevel="0" collapsed="false">
      <c r="A266" s="19"/>
      <c r="B266" s="7"/>
      <c r="C266" s="7"/>
      <c r="D266" s="7"/>
      <c r="E266" s="17"/>
      <c r="F266" s="7"/>
      <c r="G266" s="7"/>
      <c r="H266" s="21" t="str">
        <f aca="false">IF(A266="","",MONTH(A266))</f>
        <v/>
      </c>
    </row>
    <row r="267" customFormat="false" ht="15" hidden="false" customHeight="false" outlineLevel="0" collapsed="false">
      <c r="A267" s="19"/>
      <c r="B267" s="7"/>
      <c r="C267" s="7"/>
      <c r="D267" s="7"/>
      <c r="E267" s="17"/>
      <c r="F267" s="7"/>
      <c r="G267" s="7"/>
      <c r="H267" s="21" t="str">
        <f aca="false">IF(A267="","",MONTH(A267))</f>
        <v/>
      </c>
    </row>
    <row r="268" customFormat="false" ht="15" hidden="false" customHeight="false" outlineLevel="0" collapsed="false">
      <c r="A268" s="19"/>
      <c r="B268" s="7"/>
      <c r="C268" s="7"/>
      <c r="D268" s="7"/>
      <c r="E268" s="17"/>
      <c r="F268" s="7"/>
      <c r="G268" s="7"/>
      <c r="H268" s="21" t="str">
        <f aca="false">IF(A268="","",MONTH(A268))</f>
        <v/>
      </c>
    </row>
    <row r="269" customFormat="false" ht="15" hidden="false" customHeight="false" outlineLevel="0" collapsed="false">
      <c r="A269" s="19"/>
      <c r="B269" s="7"/>
      <c r="C269" s="7"/>
      <c r="D269" s="7"/>
      <c r="E269" s="17"/>
      <c r="F269" s="7"/>
      <c r="G269" s="7"/>
      <c r="H269" s="21" t="str">
        <f aca="false">IF(A269="","",MONTH(A269))</f>
        <v/>
      </c>
    </row>
    <row r="270" customFormat="false" ht="15" hidden="false" customHeight="false" outlineLevel="0" collapsed="false">
      <c r="A270" s="19"/>
      <c r="B270" s="7"/>
      <c r="C270" s="7"/>
      <c r="D270" s="7"/>
      <c r="E270" s="17"/>
      <c r="F270" s="7"/>
      <c r="G270" s="7"/>
      <c r="H270" s="21" t="str">
        <f aca="false">IF(A270="","",MONTH(A270))</f>
        <v/>
      </c>
    </row>
    <row r="271" customFormat="false" ht="15" hidden="false" customHeight="false" outlineLevel="0" collapsed="false">
      <c r="A271" s="19"/>
      <c r="B271" s="7"/>
      <c r="C271" s="7"/>
      <c r="D271" s="7"/>
      <c r="E271" s="17"/>
      <c r="F271" s="7"/>
      <c r="G271" s="7"/>
      <c r="H271" s="21" t="str">
        <f aca="false">IF(A271="","",MONTH(A271))</f>
        <v/>
      </c>
    </row>
    <row r="272" customFormat="false" ht="15" hidden="false" customHeight="false" outlineLevel="0" collapsed="false">
      <c r="A272" s="19"/>
      <c r="B272" s="7"/>
      <c r="C272" s="7"/>
      <c r="D272" s="7"/>
      <c r="E272" s="17"/>
      <c r="F272" s="7"/>
      <c r="G272" s="7"/>
      <c r="H272" s="21" t="str">
        <f aca="false">IF(A272="","",MONTH(A272))</f>
        <v/>
      </c>
    </row>
    <row r="273" customFormat="false" ht="15" hidden="false" customHeight="false" outlineLevel="0" collapsed="false">
      <c r="A273" s="19"/>
      <c r="B273" s="7"/>
      <c r="C273" s="7"/>
      <c r="D273" s="7"/>
      <c r="E273" s="17"/>
      <c r="F273" s="7"/>
      <c r="G273" s="7"/>
      <c r="H273" s="21" t="str">
        <f aca="false">IF(A273="","",MONTH(A273))</f>
        <v/>
      </c>
    </row>
    <row r="274" customFormat="false" ht="15" hidden="false" customHeight="false" outlineLevel="0" collapsed="false">
      <c r="A274" s="19"/>
      <c r="B274" s="7"/>
      <c r="C274" s="7"/>
      <c r="D274" s="7"/>
      <c r="E274" s="17"/>
      <c r="F274" s="7"/>
      <c r="G274" s="7"/>
      <c r="H274" s="21" t="str">
        <f aca="false">IF(A274="","",MONTH(A274))</f>
        <v/>
      </c>
    </row>
    <row r="275" customFormat="false" ht="15" hidden="false" customHeight="false" outlineLevel="0" collapsed="false">
      <c r="A275" s="19"/>
      <c r="B275" s="7"/>
      <c r="C275" s="7"/>
      <c r="D275" s="7"/>
      <c r="E275" s="17"/>
      <c r="F275" s="7"/>
      <c r="G275" s="7"/>
      <c r="H275" s="21" t="str">
        <f aca="false">IF(A275="","",MONTH(A275))</f>
        <v/>
      </c>
    </row>
    <row r="276" customFormat="false" ht="15" hidden="false" customHeight="false" outlineLevel="0" collapsed="false">
      <c r="A276" s="19"/>
      <c r="B276" s="7"/>
      <c r="C276" s="7"/>
      <c r="D276" s="7"/>
      <c r="E276" s="17"/>
      <c r="F276" s="7"/>
      <c r="G276" s="7"/>
      <c r="H276" s="21" t="str">
        <f aca="false">IF(A276="","",MONTH(A276))</f>
        <v/>
      </c>
    </row>
    <row r="277" customFormat="false" ht="15" hidden="false" customHeight="false" outlineLevel="0" collapsed="false">
      <c r="A277" s="19"/>
      <c r="B277" s="7"/>
      <c r="C277" s="7"/>
      <c r="D277" s="7"/>
      <c r="E277" s="17"/>
      <c r="F277" s="7"/>
      <c r="G277" s="7"/>
      <c r="H277" s="21" t="str">
        <f aca="false">IF(A277="","",MONTH(A277))</f>
        <v/>
      </c>
    </row>
    <row r="278" customFormat="false" ht="15" hidden="false" customHeight="false" outlineLevel="0" collapsed="false">
      <c r="A278" s="19"/>
      <c r="B278" s="7"/>
      <c r="C278" s="7"/>
      <c r="D278" s="7"/>
      <c r="E278" s="17"/>
      <c r="F278" s="7"/>
      <c r="G278" s="7"/>
      <c r="H278" s="21" t="str">
        <f aca="false">IF(A278="","",MONTH(A278))</f>
        <v/>
      </c>
    </row>
    <row r="279" customFormat="false" ht="15" hidden="false" customHeight="false" outlineLevel="0" collapsed="false">
      <c r="A279" s="19"/>
      <c r="B279" s="7"/>
      <c r="C279" s="7"/>
      <c r="D279" s="7"/>
      <c r="E279" s="17"/>
      <c r="F279" s="7"/>
      <c r="G279" s="7"/>
      <c r="H279" s="21" t="str">
        <f aca="false">IF(A279="","",MONTH(A279))</f>
        <v/>
      </c>
    </row>
    <row r="280" customFormat="false" ht="15" hidden="false" customHeight="false" outlineLevel="0" collapsed="false">
      <c r="A280" s="19"/>
      <c r="B280" s="7"/>
      <c r="C280" s="7"/>
      <c r="D280" s="7"/>
      <c r="E280" s="17"/>
      <c r="F280" s="7"/>
      <c r="G280" s="7"/>
      <c r="H280" s="21" t="str">
        <f aca="false">IF(A280="","",MONTH(A280))</f>
        <v/>
      </c>
    </row>
    <row r="281" customFormat="false" ht="15" hidden="false" customHeight="false" outlineLevel="0" collapsed="false">
      <c r="A281" s="19"/>
      <c r="B281" s="7"/>
      <c r="C281" s="7"/>
      <c r="D281" s="7"/>
      <c r="E281" s="17"/>
      <c r="F281" s="7"/>
      <c r="G281" s="7"/>
      <c r="H281" s="21" t="str">
        <f aca="false">IF(A281="","",MONTH(A281))</f>
        <v/>
      </c>
    </row>
    <row r="282" customFormat="false" ht="15" hidden="false" customHeight="false" outlineLevel="0" collapsed="false">
      <c r="A282" s="19"/>
      <c r="B282" s="7"/>
      <c r="C282" s="7"/>
      <c r="D282" s="7"/>
      <c r="E282" s="17"/>
      <c r="F282" s="7"/>
      <c r="G282" s="7"/>
      <c r="H282" s="21" t="str">
        <f aca="false">IF(A282="","",MONTH(A282))</f>
        <v/>
      </c>
    </row>
    <row r="283" customFormat="false" ht="15" hidden="false" customHeight="false" outlineLevel="0" collapsed="false">
      <c r="A283" s="19"/>
      <c r="B283" s="7"/>
      <c r="C283" s="7"/>
      <c r="D283" s="7"/>
      <c r="E283" s="17"/>
      <c r="F283" s="7"/>
      <c r="G283" s="7"/>
      <c r="H283" s="21" t="str">
        <f aca="false">IF(A283="","",MONTH(A283))</f>
        <v/>
      </c>
    </row>
    <row r="284" customFormat="false" ht="15" hidden="false" customHeight="false" outlineLevel="0" collapsed="false">
      <c r="A284" s="19"/>
      <c r="B284" s="7"/>
      <c r="C284" s="7"/>
      <c r="D284" s="7"/>
      <c r="E284" s="17"/>
      <c r="F284" s="7"/>
      <c r="G284" s="7"/>
      <c r="H284" s="21" t="str">
        <f aca="false">IF(A284="","",MONTH(A284))</f>
        <v/>
      </c>
    </row>
    <row r="285" customFormat="false" ht="15" hidden="false" customHeight="false" outlineLevel="0" collapsed="false">
      <c r="A285" s="19"/>
      <c r="B285" s="7"/>
      <c r="C285" s="7"/>
      <c r="D285" s="7"/>
      <c r="E285" s="17"/>
      <c r="F285" s="7"/>
      <c r="G285" s="7"/>
      <c r="H285" s="21" t="str">
        <f aca="false">IF(A285="","",MONTH(A285))</f>
        <v/>
      </c>
    </row>
    <row r="286" customFormat="false" ht="15" hidden="false" customHeight="false" outlineLevel="0" collapsed="false">
      <c r="A286" s="19"/>
      <c r="B286" s="7"/>
      <c r="C286" s="7"/>
      <c r="D286" s="7"/>
      <c r="E286" s="17"/>
      <c r="F286" s="7"/>
      <c r="G286" s="7"/>
      <c r="H286" s="21" t="str">
        <f aca="false">IF(A286="","",MONTH(A286))</f>
        <v/>
      </c>
    </row>
    <row r="287" customFormat="false" ht="15" hidden="false" customHeight="false" outlineLevel="0" collapsed="false">
      <c r="A287" s="19"/>
      <c r="B287" s="7"/>
      <c r="C287" s="7"/>
      <c r="D287" s="7"/>
      <c r="E287" s="17"/>
      <c r="F287" s="7"/>
      <c r="G287" s="7"/>
      <c r="H287" s="21" t="str">
        <f aca="false">IF(A287="","",MONTH(A287))</f>
        <v/>
      </c>
    </row>
    <row r="288" customFormat="false" ht="15" hidden="false" customHeight="false" outlineLevel="0" collapsed="false">
      <c r="A288" s="19"/>
      <c r="B288" s="7"/>
      <c r="C288" s="7"/>
      <c r="D288" s="7"/>
      <c r="E288" s="17"/>
      <c r="F288" s="7"/>
      <c r="G288" s="7"/>
      <c r="H288" s="21" t="str">
        <f aca="false">IF(A288="","",MONTH(A288))</f>
        <v/>
      </c>
    </row>
    <row r="289" customFormat="false" ht="15" hidden="false" customHeight="false" outlineLevel="0" collapsed="false">
      <c r="A289" s="19"/>
      <c r="B289" s="7"/>
      <c r="C289" s="7"/>
      <c r="D289" s="7"/>
      <c r="E289" s="17"/>
      <c r="F289" s="7"/>
      <c r="G289" s="7"/>
      <c r="H289" s="21" t="str">
        <f aca="false">IF(A289="","",MONTH(A289))</f>
        <v/>
      </c>
    </row>
    <row r="290" customFormat="false" ht="15" hidden="false" customHeight="false" outlineLevel="0" collapsed="false">
      <c r="A290" s="19"/>
      <c r="B290" s="7"/>
      <c r="C290" s="7"/>
      <c r="D290" s="7"/>
      <c r="E290" s="17"/>
      <c r="F290" s="7"/>
      <c r="G290" s="7"/>
      <c r="H290" s="21" t="str">
        <f aca="false">IF(A290="","",MONTH(A290))</f>
        <v/>
      </c>
    </row>
    <row r="291" customFormat="false" ht="15" hidden="false" customHeight="false" outlineLevel="0" collapsed="false">
      <c r="A291" s="19"/>
      <c r="B291" s="7"/>
      <c r="C291" s="7"/>
      <c r="D291" s="7"/>
      <c r="E291" s="17"/>
      <c r="F291" s="7"/>
      <c r="G291" s="7"/>
      <c r="H291" s="21" t="str">
        <f aca="false">IF(A291="","",MONTH(A291))</f>
        <v/>
      </c>
    </row>
    <row r="292" customFormat="false" ht="15" hidden="false" customHeight="false" outlineLevel="0" collapsed="false">
      <c r="A292" s="19"/>
      <c r="B292" s="7"/>
      <c r="C292" s="7"/>
      <c r="D292" s="7"/>
      <c r="E292" s="17"/>
      <c r="F292" s="7"/>
      <c r="G292" s="7"/>
      <c r="H292" s="21" t="str">
        <f aca="false">IF(A292="","",MONTH(A292))</f>
        <v/>
      </c>
    </row>
    <row r="293" customFormat="false" ht="15" hidden="false" customHeight="false" outlineLevel="0" collapsed="false">
      <c r="A293" s="19"/>
      <c r="B293" s="7"/>
      <c r="C293" s="7"/>
      <c r="D293" s="7"/>
      <c r="E293" s="17"/>
      <c r="F293" s="7"/>
      <c r="G293" s="7"/>
      <c r="H293" s="21" t="str">
        <f aca="false">IF(A293="","",MONTH(A293))</f>
        <v/>
      </c>
    </row>
    <row r="294" customFormat="false" ht="15" hidden="false" customHeight="false" outlineLevel="0" collapsed="false">
      <c r="A294" s="19"/>
      <c r="B294" s="7"/>
      <c r="C294" s="7"/>
      <c r="D294" s="7"/>
      <c r="E294" s="17"/>
      <c r="F294" s="7"/>
      <c r="G294" s="7"/>
      <c r="H294" s="21" t="str">
        <f aca="false">IF(A294="","",MONTH(A294))</f>
        <v/>
      </c>
    </row>
    <row r="295" customFormat="false" ht="15" hidden="false" customHeight="false" outlineLevel="0" collapsed="false">
      <c r="A295" s="19"/>
      <c r="B295" s="7"/>
      <c r="C295" s="7"/>
      <c r="D295" s="7"/>
      <c r="E295" s="17"/>
      <c r="F295" s="7"/>
      <c r="G295" s="7"/>
      <c r="H295" s="21" t="str">
        <f aca="false">IF(A295="","",MONTH(A295))</f>
        <v/>
      </c>
    </row>
    <row r="296" customFormat="false" ht="15" hidden="false" customHeight="false" outlineLevel="0" collapsed="false">
      <c r="A296" s="19"/>
      <c r="B296" s="7"/>
      <c r="C296" s="7"/>
      <c r="D296" s="7"/>
      <c r="E296" s="17"/>
      <c r="F296" s="7"/>
      <c r="G296" s="7"/>
      <c r="H296" s="21" t="str">
        <f aca="false">IF(A296="","",MONTH(A296))</f>
        <v/>
      </c>
    </row>
    <row r="297" customFormat="false" ht="15" hidden="false" customHeight="false" outlineLevel="0" collapsed="false">
      <c r="A297" s="19"/>
      <c r="B297" s="7"/>
      <c r="C297" s="7"/>
      <c r="D297" s="7"/>
      <c r="E297" s="17"/>
      <c r="F297" s="7"/>
      <c r="G297" s="7"/>
      <c r="H297" s="21" t="str">
        <f aca="false">IF(A297="","",MONTH(A297))</f>
        <v/>
      </c>
    </row>
    <row r="298" customFormat="false" ht="15" hidden="false" customHeight="false" outlineLevel="0" collapsed="false">
      <c r="A298" s="19"/>
      <c r="B298" s="7"/>
      <c r="C298" s="7"/>
      <c r="D298" s="7"/>
      <c r="E298" s="17"/>
      <c r="F298" s="7"/>
      <c r="G298" s="7"/>
      <c r="H298" s="21" t="str">
        <f aca="false">IF(A298="","",MONTH(A298))</f>
        <v/>
      </c>
    </row>
    <row r="299" customFormat="false" ht="15" hidden="false" customHeight="false" outlineLevel="0" collapsed="false">
      <c r="A299" s="19"/>
      <c r="B299" s="7"/>
      <c r="C299" s="7"/>
      <c r="D299" s="7"/>
      <c r="E299" s="17"/>
      <c r="F299" s="7"/>
      <c r="G299" s="7"/>
      <c r="H299" s="21" t="str">
        <f aca="false">IF(A299="","",MONTH(A299))</f>
        <v/>
      </c>
    </row>
    <row r="300" customFormat="false" ht="15" hidden="false" customHeight="false" outlineLevel="0" collapsed="false">
      <c r="A300" s="19"/>
      <c r="B300" s="7"/>
      <c r="C300" s="7"/>
      <c r="D300" s="7"/>
      <c r="E300" s="17"/>
      <c r="F300" s="7"/>
      <c r="G300" s="7"/>
      <c r="H300" s="21" t="str">
        <f aca="false">IF(A300="","",MONTH(A300))</f>
        <v/>
      </c>
    </row>
    <row r="301" customFormat="false" ht="15" hidden="false" customHeight="false" outlineLevel="0" collapsed="false">
      <c r="A301" s="19"/>
      <c r="B301" s="7"/>
      <c r="C301" s="7"/>
      <c r="D301" s="7"/>
      <c r="E301" s="17"/>
      <c r="F301" s="7"/>
      <c r="G301" s="7"/>
      <c r="H301" s="21" t="str">
        <f aca="false">IF(A301="","",MONTH(A301))</f>
        <v/>
      </c>
    </row>
    <row r="302" customFormat="false" ht="15" hidden="false" customHeight="false" outlineLevel="0" collapsed="false">
      <c r="A302" s="19"/>
      <c r="B302" s="7"/>
      <c r="C302" s="7"/>
      <c r="D302" s="7"/>
      <c r="E302" s="17"/>
      <c r="F302" s="7"/>
      <c r="G302" s="7"/>
      <c r="H302" s="21" t="str">
        <f aca="false">IF(A302="","",MONTH(A302))</f>
        <v/>
      </c>
    </row>
    <row r="303" customFormat="false" ht="15" hidden="false" customHeight="false" outlineLevel="0" collapsed="false">
      <c r="A303" s="19"/>
      <c r="B303" s="7"/>
      <c r="C303" s="7"/>
      <c r="D303" s="7"/>
      <c r="E303" s="17"/>
      <c r="F303" s="7"/>
      <c r="G303" s="7"/>
      <c r="H303" s="21" t="str">
        <f aca="false">IF(A303="","",MONTH(A303))</f>
        <v/>
      </c>
    </row>
    <row r="304" customFormat="false" ht="15" hidden="false" customHeight="false" outlineLevel="0" collapsed="false">
      <c r="A304" s="19"/>
      <c r="B304" s="7"/>
      <c r="C304" s="7"/>
      <c r="D304" s="7"/>
      <c r="E304" s="17"/>
      <c r="F304" s="7"/>
      <c r="G304" s="7"/>
      <c r="H304" s="21" t="str">
        <f aca="false">IF(A304="","",MONTH(A304))</f>
        <v/>
      </c>
    </row>
    <row r="305" customFormat="false" ht="15" hidden="false" customHeight="false" outlineLevel="0" collapsed="false">
      <c r="A305" s="19"/>
      <c r="B305" s="7"/>
      <c r="C305" s="7"/>
      <c r="D305" s="7"/>
      <c r="E305" s="17"/>
      <c r="F305" s="7"/>
      <c r="G305" s="7"/>
      <c r="H305" s="21" t="str">
        <f aca="false">IF(A305="","",MONTH(A305))</f>
        <v/>
      </c>
    </row>
    <row r="306" customFormat="false" ht="15" hidden="false" customHeight="false" outlineLevel="0" collapsed="false">
      <c r="A306" s="19"/>
      <c r="B306" s="7"/>
      <c r="C306" s="7"/>
      <c r="D306" s="7"/>
      <c r="E306" s="17"/>
      <c r="F306" s="7"/>
      <c r="G306" s="7"/>
      <c r="H306" s="21" t="str">
        <f aca="false">IF(A306="","",MONTH(A306))</f>
        <v/>
      </c>
    </row>
    <row r="307" customFormat="false" ht="15" hidden="false" customHeight="false" outlineLevel="0" collapsed="false">
      <c r="A307" s="19"/>
      <c r="B307" s="7"/>
      <c r="C307" s="7"/>
      <c r="D307" s="7"/>
      <c r="E307" s="17"/>
      <c r="F307" s="7"/>
      <c r="G307" s="7"/>
      <c r="H307" s="21" t="str">
        <f aca="false">IF(A307="","",MONTH(A307))</f>
        <v/>
      </c>
    </row>
    <row r="308" customFormat="false" ht="15" hidden="false" customHeight="false" outlineLevel="0" collapsed="false">
      <c r="A308" s="19"/>
      <c r="B308" s="7"/>
      <c r="C308" s="7"/>
      <c r="D308" s="7"/>
      <c r="E308" s="17"/>
      <c r="F308" s="7"/>
      <c r="G308" s="7"/>
      <c r="H308" s="21" t="str">
        <f aca="false">IF(A308="","",MONTH(A308))</f>
        <v/>
      </c>
    </row>
    <row r="309" customFormat="false" ht="15" hidden="false" customHeight="false" outlineLevel="0" collapsed="false">
      <c r="A309" s="19"/>
      <c r="B309" s="7"/>
      <c r="C309" s="7"/>
      <c r="D309" s="7"/>
      <c r="E309" s="17"/>
      <c r="F309" s="7"/>
      <c r="G309" s="7"/>
      <c r="H309" s="21" t="str">
        <f aca="false">IF(A309="","",MONTH(A309))</f>
        <v/>
      </c>
    </row>
    <row r="310" customFormat="false" ht="15" hidden="false" customHeight="false" outlineLevel="0" collapsed="false">
      <c r="A310" s="19"/>
      <c r="B310" s="7"/>
      <c r="C310" s="7"/>
      <c r="D310" s="7"/>
      <c r="E310" s="17"/>
      <c r="F310" s="7"/>
      <c r="G310" s="7"/>
      <c r="H310" s="21" t="str">
        <f aca="false">IF(A310="","",MONTH(A310))</f>
        <v/>
      </c>
    </row>
    <row r="311" customFormat="false" ht="15" hidden="false" customHeight="false" outlineLevel="0" collapsed="false">
      <c r="A311" s="19"/>
      <c r="B311" s="7"/>
      <c r="C311" s="7"/>
      <c r="D311" s="7"/>
      <c r="E311" s="17"/>
      <c r="F311" s="7"/>
      <c r="G311" s="7"/>
      <c r="H311" s="21" t="str">
        <f aca="false">IF(A311="","",MONTH(A311))</f>
        <v/>
      </c>
    </row>
    <row r="312" customFormat="false" ht="15" hidden="false" customHeight="false" outlineLevel="0" collapsed="false">
      <c r="A312" s="19"/>
      <c r="B312" s="7"/>
      <c r="C312" s="7"/>
      <c r="D312" s="7"/>
      <c r="E312" s="17"/>
      <c r="F312" s="7"/>
      <c r="G312" s="7"/>
      <c r="H312" s="21" t="str">
        <f aca="false">IF(A312="","",MONTH(A312))</f>
        <v/>
      </c>
    </row>
    <row r="313" customFormat="false" ht="15" hidden="false" customHeight="false" outlineLevel="0" collapsed="false">
      <c r="A313" s="19"/>
      <c r="B313" s="7"/>
      <c r="C313" s="7"/>
      <c r="D313" s="7"/>
      <c r="E313" s="17"/>
      <c r="F313" s="7"/>
      <c r="G313" s="7"/>
      <c r="H313" s="21" t="str">
        <f aca="false">IF(A313="","",MONTH(A313))</f>
        <v/>
      </c>
    </row>
    <row r="314" customFormat="false" ht="15" hidden="false" customHeight="false" outlineLevel="0" collapsed="false">
      <c r="A314" s="19"/>
      <c r="B314" s="7"/>
      <c r="C314" s="7"/>
      <c r="D314" s="7"/>
      <c r="E314" s="17"/>
      <c r="F314" s="7"/>
      <c r="G314" s="7"/>
      <c r="H314" s="21" t="str">
        <f aca="false">IF(A314="","",MONTH(A314))</f>
        <v/>
      </c>
    </row>
    <row r="315" customFormat="false" ht="15" hidden="false" customHeight="false" outlineLevel="0" collapsed="false">
      <c r="A315" s="19"/>
      <c r="B315" s="7"/>
      <c r="C315" s="7"/>
      <c r="D315" s="7"/>
      <c r="E315" s="17"/>
      <c r="F315" s="7"/>
      <c r="G315" s="7"/>
      <c r="H315" s="21" t="str">
        <f aca="false">IF(A315="","",MONTH(A315))</f>
        <v/>
      </c>
    </row>
    <row r="316" customFormat="false" ht="15" hidden="false" customHeight="false" outlineLevel="0" collapsed="false">
      <c r="A316" s="19"/>
      <c r="B316" s="7"/>
      <c r="C316" s="7"/>
      <c r="D316" s="7"/>
      <c r="E316" s="17"/>
      <c r="F316" s="7"/>
      <c r="G316" s="7"/>
      <c r="H316" s="21" t="str">
        <f aca="false">IF(A316="","",MONTH(A316))</f>
        <v/>
      </c>
    </row>
    <row r="317" customFormat="false" ht="15" hidden="false" customHeight="false" outlineLevel="0" collapsed="false">
      <c r="A317" s="19"/>
      <c r="B317" s="7"/>
      <c r="C317" s="7"/>
      <c r="D317" s="7"/>
      <c r="E317" s="17"/>
      <c r="F317" s="7"/>
      <c r="G317" s="7"/>
      <c r="H317" s="21" t="str">
        <f aca="false">IF(A317="","",MONTH(A317))</f>
        <v/>
      </c>
    </row>
    <row r="318" customFormat="false" ht="15" hidden="false" customHeight="false" outlineLevel="0" collapsed="false">
      <c r="A318" s="19"/>
      <c r="B318" s="7"/>
      <c r="C318" s="7"/>
      <c r="D318" s="7"/>
      <c r="E318" s="17"/>
      <c r="F318" s="7"/>
      <c r="G318" s="7"/>
      <c r="H318" s="21" t="str">
        <f aca="false">IF(A318="","",MONTH(A318))</f>
        <v/>
      </c>
    </row>
    <row r="319" customFormat="false" ht="15" hidden="false" customHeight="false" outlineLevel="0" collapsed="false">
      <c r="A319" s="19"/>
      <c r="B319" s="7"/>
      <c r="C319" s="7"/>
      <c r="D319" s="7"/>
      <c r="E319" s="17"/>
      <c r="F319" s="7"/>
      <c r="G319" s="7"/>
      <c r="H319" s="21" t="str">
        <f aca="false">IF(A319="","",MONTH(A319))</f>
        <v/>
      </c>
    </row>
    <row r="320" customFormat="false" ht="15" hidden="false" customHeight="false" outlineLevel="0" collapsed="false">
      <c r="A320" s="19"/>
      <c r="B320" s="7"/>
      <c r="C320" s="7"/>
      <c r="D320" s="7"/>
      <c r="E320" s="17"/>
      <c r="F320" s="7"/>
      <c r="G320" s="7"/>
      <c r="H320" s="21" t="str">
        <f aca="false">IF(A320="","",MONTH(A320))</f>
        <v/>
      </c>
    </row>
    <row r="321" customFormat="false" ht="15" hidden="false" customHeight="false" outlineLevel="0" collapsed="false">
      <c r="A321" s="19"/>
      <c r="B321" s="7"/>
      <c r="C321" s="7"/>
      <c r="D321" s="7"/>
      <c r="E321" s="17"/>
      <c r="F321" s="7"/>
      <c r="G321" s="7"/>
      <c r="H321" s="21" t="str">
        <f aca="false">IF(A321="","",MONTH(A321))</f>
        <v/>
      </c>
    </row>
    <row r="322" customFormat="false" ht="15" hidden="false" customHeight="false" outlineLevel="0" collapsed="false">
      <c r="A322" s="19"/>
      <c r="B322" s="7"/>
      <c r="C322" s="7"/>
      <c r="D322" s="7"/>
      <c r="E322" s="17"/>
      <c r="F322" s="7"/>
      <c r="G322" s="7"/>
      <c r="H322" s="21" t="str">
        <f aca="false">IF(A322="","",MONTH(A322))</f>
        <v/>
      </c>
    </row>
    <row r="323" customFormat="false" ht="15" hidden="false" customHeight="false" outlineLevel="0" collapsed="false">
      <c r="A323" s="19"/>
      <c r="B323" s="7"/>
      <c r="C323" s="7"/>
      <c r="D323" s="7"/>
      <c r="E323" s="17"/>
      <c r="F323" s="7"/>
      <c r="G323" s="7"/>
      <c r="H323" s="21" t="str">
        <f aca="false">IF(A323="","",MONTH(A323))</f>
        <v/>
      </c>
    </row>
    <row r="324" customFormat="false" ht="15" hidden="false" customHeight="false" outlineLevel="0" collapsed="false">
      <c r="A324" s="19"/>
      <c r="B324" s="7"/>
      <c r="C324" s="7"/>
      <c r="D324" s="7"/>
      <c r="E324" s="17"/>
      <c r="F324" s="7"/>
      <c r="G324" s="7"/>
      <c r="H324" s="21" t="str">
        <f aca="false">IF(A324="","",MONTH(A324))</f>
        <v/>
      </c>
    </row>
    <row r="325" customFormat="false" ht="15" hidden="false" customHeight="false" outlineLevel="0" collapsed="false">
      <c r="A325" s="19"/>
      <c r="B325" s="7"/>
      <c r="C325" s="7"/>
      <c r="D325" s="7"/>
      <c r="E325" s="17"/>
      <c r="F325" s="7"/>
      <c r="G325" s="7"/>
      <c r="H325" s="21" t="str">
        <f aca="false">IF(A325="","",MONTH(A325))</f>
        <v/>
      </c>
    </row>
    <row r="326" customFormat="false" ht="15" hidden="false" customHeight="false" outlineLevel="0" collapsed="false">
      <c r="A326" s="19"/>
      <c r="B326" s="7"/>
      <c r="C326" s="7"/>
      <c r="D326" s="7"/>
      <c r="E326" s="17"/>
      <c r="F326" s="7"/>
      <c r="G326" s="7"/>
      <c r="H326" s="21" t="str">
        <f aca="false">IF(A326="","",MONTH(A326))</f>
        <v/>
      </c>
    </row>
    <row r="327" customFormat="false" ht="15" hidden="false" customHeight="false" outlineLevel="0" collapsed="false">
      <c r="A327" s="19"/>
      <c r="B327" s="7"/>
      <c r="C327" s="7"/>
      <c r="D327" s="7"/>
      <c r="E327" s="17"/>
      <c r="F327" s="7"/>
      <c r="G327" s="7"/>
      <c r="H327" s="21" t="str">
        <f aca="false">IF(A327="","",MONTH(A327))</f>
        <v/>
      </c>
    </row>
    <row r="328" customFormat="false" ht="15" hidden="false" customHeight="false" outlineLevel="0" collapsed="false">
      <c r="A328" s="19"/>
      <c r="B328" s="7"/>
      <c r="C328" s="7"/>
      <c r="D328" s="7"/>
      <c r="E328" s="17"/>
      <c r="F328" s="7"/>
      <c r="G328" s="7"/>
      <c r="H328" s="21" t="str">
        <f aca="false">IF(A328="","",MONTH(A328))</f>
        <v/>
      </c>
    </row>
    <row r="329" customFormat="false" ht="15" hidden="false" customHeight="false" outlineLevel="0" collapsed="false">
      <c r="A329" s="19"/>
      <c r="B329" s="7"/>
      <c r="C329" s="7"/>
      <c r="D329" s="7"/>
      <c r="E329" s="17"/>
      <c r="F329" s="7"/>
      <c r="G329" s="7"/>
      <c r="H329" s="21" t="str">
        <f aca="false">IF(A329="","",MONTH(A329))</f>
        <v/>
      </c>
    </row>
    <row r="330" customFormat="false" ht="15" hidden="false" customHeight="false" outlineLevel="0" collapsed="false">
      <c r="A330" s="19"/>
      <c r="B330" s="7"/>
      <c r="C330" s="7"/>
      <c r="D330" s="7"/>
      <c r="E330" s="17"/>
      <c r="F330" s="7"/>
      <c r="G330" s="7"/>
      <c r="H330" s="21" t="str">
        <f aca="false">IF(A330="","",MONTH(A330))</f>
        <v/>
      </c>
    </row>
    <row r="331" customFormat="false" ht="15" hidden="false" customHeight="false" outlineLevel="0" collapsed="false">
      <c r="A331" s="19"/>
      <c r="B331" s="7"/>
      <c r="C331" s="7"/>
      <c r="D331" s="7"/>
      <c r="E331" s="17"/>
      <c r="F331" s="7"/>
      <c r="G331" s="7"/>
      <c r="H331" s="21" t="str">
        <f aca="false">IF(A331="","",MONTH(A331))</f>
        <v/>
      </c>
    </row>
    <row r="332" customFormat="false" ht="15" hidden="false" customHeight="false" outlineLevel="0" collapsed="false">
      <c r="A332" s="19"/>
      <c r="B332" s="7"/>
      <c r="C332" s="7"/>
      <c r="D332" s="7"/>
      <c r="E332" s="17"/>
      <c r="F332" s="7"/>
      <c r="G332" s="7"/>
      <c r="H332" s="21" t="str">
        <f aca="false">IF(A332="","",MONTH(A332))</f>
        <v/>
      </c>
    </row>
    <row r="333" customFormat="false" ht="15" hidden="false" customHeight="false" outlineLevel="0" collapsed="false">
      <c r="A333" s="19"/>
      <c r="B333" s="7"/>
      <c r="C333" s="7"/>
      <c r="D333" s="7"/>
      <c r="E333" s="17"/>
      <c r="F333" s="7"/>
      <c r="G333" s="7"/>
      <c r="H333" s="21" t="str">
        <f aca="false">IF(A333="","",MONTH(A333))</f>
        <v/>
      </c>
    </row>
    <row r="334" customFormat="false" ht="15" hidden="false" customHeight="false" outlineLevel="0" collapsed="false">
      <c r="A334" s="19"/>
      <c r="B334" s="7"/>
      <c r="C334" s="7"/>
      <c r="D334" s="7"/>
      <c r="E334" s="17"/>
      <c r="F334" s="7"/>
      <c r="G334" s="7"/>
      <c r="H334" s="21" t="str">
        <f aca="false">IF(A334="","",MONTH(A334))</f>
        <v/>
      </c>
    </row>
    <row r="335" customFormat="false" ht="15" hidden="false" customHeight="false" outlineLevel="0" collapsed="false">
      <c r="A335" s="19"/>
      <c r="B335" s="7"/>
      <c r="C335" s="7"/>
      <c r="D335" s="7"/>
      <c r="E335" s="17"/>
      <c r="F335" s="7"/>
      <c r="G335" s="7"/>
      <c r="H335" s="21" t="str">
        <f aca="false">IF(A335="","",MONTH(A335))</f>
        <v/>
      </c>
    </row>
    <row r="336" customFormat="false" ht="15" hidden="false" customHeight="false" outlineLevel="0" collapsed="false">
      <c r="A336" s="19"/>
      <c r="B336" s="7"/>
      <c r="C336" s="7"/>
      <c r="D336" s="7"/>
      <c r="E336" s="17"/>
      <c r="F336" s="7"/>
      <c r="G336" s="7"/>
      <c r="H336" s="21" t="str">
        <f aca="false">IF(A336="","",MONTH(A336))</f>
        <v/>
      </c>
    </row>
    <row r="337" customFormat="false" ht="15" hidden="false" customHeight="false" outlineLevel="0" collapsed="false">
      <c r="A337" s="19"/>
      <c r="B337" s="7"/>
      <c r="C337" s="7"/>
      <c r="D337" s="7"/>
      <c r="E337" s="17"/>
      <c r="F337" s="7"/>
      <c r="G337" s="7"/>
      <c r="H337" s="21" t="str">
        <f aca="false">IF(A337="","",MONTH(A337))</f>
        <v/>
      </c>
    </row>
    <row r="338" customFormat="false" ht="15" hidden="false" customHeight="false" outlineLevel="0" collapsed="false">
      <c r="A338" s="19"/>
      <c r="B338" s="7"/>
      <c r="C338" s="7"/>
      <c r="D338" s="7"/>
      <c r="E338" s="17"/>
      <c r="F338" s="7"/>
      <c r="G338" s="7"/>
      <c r="H338" s="21" t="str">
        <f aca="false">IF(A338="","",MONTH(A338))</f>
        <v/>
      </c>
    </row>
    <row r="339" customFormat="false" ht="15" hidden="false" customHeight="false" outlineLevel="0" collapsed="false">
      <c r="A339" s="19"/>
      <c r="B339" s="7"/>
      <c r="C339" s="7"/>
      <c r="D339" s="7"/>
      <c r="E339" s="17"/>
      <c r="F339" s="7"/>
      <c r="G339" s="7"/>
      <c r="H339" s="21" t="str">
        <f aca="false">IF(A339="","",MONTH(A339))</f>
        <v/>
      </c>
    </row>
    <row r="340" customFormat="false" ht="15" hidden="false" customHeight="false" outlineLevel="0" collapsed="false">
      <c r="A340" s="19"/>
      <c r="B340" s="7"/>
      <c r="C340" s="7"/>
      <c r="D340" s="7"/>
      <c r="E340" s="17"/>
      <c r="F340" s="7"/>
      <c r="G340" s="7"/>
      <c r="H340" s="21" t="str">
        <f aca="false">IF(A340="","",MONTH(A340))</f>
        <v/>
      </c>
    </row>
    <row r="341" customFormat="false" ht="15" hidden="false" customHeight="false" outlineLevel="0" collapsed="false">
      <c r="A341" s="19"/>
      <c r="B341" s="7"/>
      <c r="C341" s="7"/>
      <c r="D341" s="7"/>
      <c r="E341" s="17"/>
      <c r="F341" s="7"/>
      <c r="G341" s="7"/>
      <c r="H341" s="21" t="str">
        <f aca="false">IF(A341="","",MONTH(A341))</f>
        <v/>
      </c>
    </row>
    <row r="342" customFormat="false" ht="15" hidden="false" customHeight="false" outlineLevel="0" collapsed="false">
      <c r="A342" s="19"/>
      <c r="B342" s="7"/>
      <c r="C342" s="7"/>
      <c r="D342" s="7"/>
      <c r="E342" s="17"/>
      <c r="F342" s="7"/>
      <c r="G342" s="7"/>
      <c r="H342" s="21" t="str">
        <f aca="false">IF(A342="","",MONTH(A342))</f>
        <v/>
      </c>
    </row>
    <row r="343" customFormat="false" ht="15" hidden="false" customHeight="false" outlineLevel="0" collapsed="false">
      <c r="A343" s="19"/>
      <c r="B343" s="7"/>
      <c r="C343" s="7"/>
      <c r="D343" s="7"/>
      <c r="E343" s="17"/>
      <c r="F343" s="7"/>
      <c r="G343" s="7"/>
      <c r="H343" s="21" t="str">
        <f aca="false">IF(A343="","",MONTH(A343))</f>
        <v/>
      </c>
    </row>
    <row r="344" customFormat="false" ht="15" hidden="false" customHeight="false" outlineLevel="0" collapsed="false">
      <c r="A344" s="19"/>
      <c r="B344" s="7"/>
      <c r="C344" s="7"/>
      <c r="D344" s="7"/>
      <c r="E344" s="17"/>
      <c r="F344" s="7"/>
      <c r="G344" s="7"/>
      <c r="H344" s="21" t="str">
        <f aca="false">IF(A344="","",MONTH(A344))</f>
        <v/>
      </c>
    </row>
    <row r="345" customFormat="false" ht="15" hidden="false" customHeight="false" outlineLevel="0" collapsed="false">
      <c r="A345" s="19"/>
      <c r="B345" s="7"/>
      <c r="C345" s="7"/>
      <c r="D345" s="7"/>
      <c r="E345" s="17"/>
      <c r="F345" s="7"/>
      <c r="G345" s="7"/>
      <c r="H345" s="21" t="str">
        <f aca="false">IF(A345="","",MONTH(A345))</f>
        <v/>
      </c>
    </row>
    <row r="346" customFormat="false" ht="15" hidden="false" customHeight="false" outlineLevel="0" collapsed="false">
      <c r="A346" s="19"/>
      <c r="B346" s="7"/>
      <c r="C346" s="7"/>
      <c r="D346" s="7"/>
      <c r="E346" s="17"/>
      <c r="F346" s="7"/>
      <c r="G346" s="7"/>
      <c r="H346" s="21" t="str">
        <f aca="false">IF(A346="","",MONTH(A346))</f>
        <v/>
      </c>
    </row>
    <row r="347" customFormat="false" ht="15" hidden="false" customHeight="false" outlineLevel="0" collapsed="false">
      <c r="A347" s="19"/>
      <c r="B347" s="7"/>
      <c r="C347" s="7"/>
      <c r="D347" s="7"/>
      <c r="E347" s="17"/>
      <c r="F347" s="7"/>
      <c r="G347" s="7"/>
      <c r="H347" s="21" t="str">
        <f aca="false">IF(A347="","",MONTH(A347))</f>
        <v/>
      </c>
    </row>
    <row r="348" customFormat="false" ht="15" hidden="false" customHeight="false" outlineLevel="0" collapsed="false">
      <c r="A348" s="19"/>
      <c r="B348" s="7"/>
      <c r="C348" s="7"/>
      <c r="D348" s="7"/>
      <c r="E348" s="17"/>
      <c r="F348" s="7"/>
      <c r="G348" s="7"/>
      <c r="H348" s="21" t="str">
        <f aca="false">IF(A348="","",MONTH(A348))</f>
        <v/>
      </c>
    </row>
    <row r="349" customFormat="false" ht="15" hidden="false" customHeight="false" outlineLevel="0" collapsed="false">
      <c r="A349" s="19"/>
      <c r="B349" s="7"/>
      <c r="C349" s="7"/>
      <c r="D349" s="7"/>
      <c r="E349" s="17"/>
      <c r="F349" s="7"/>
      <c r="G349" s="7"/>
      <c r="H349" s="21" t="str">
        <f aca="false">IF(A349="","",MONTH(A349))</f>
        <v/>
      </c>
    </row>
    <row r="350" customFormat="false" ht="15" hidden="false" customHeight="false" outlineLevel="0" collapsed="false">
      <c r="A350" s="19"/>
      <c r="B350" s="7"/>
      <c r="C350" s="7"/>
      <c r="D350" s="7"/>
      <c r="E350" s="17"/>
      <c r="F350" s="7"/>
      <c r="G350" s="7"/>
      <c r="H350" s="21" t="str">
        <f aca="false">IF(A350="","",MONTH(A350))</f>
        <v/>
      </c>
    </row>
    <row r="351" customFormat="false" ht="15" hidden="false" customHeight="false" outlineLevel="0" collapsed="false">
      <c r="A351" s="19"/>
      <c r="B351" s="7"/>
      <c r="C351" s="7"/>
      <c r="D351" s="7"/>
      <c r="E351" s="17"/>
      <c r="F351" s="7"/>
      <c r="G351" s="7"/>
      <c r="H351" s="21" t="str">
        <f aca="false">IF(A351="","",MONTH(A351))</f>
        <v/>
      </c>
    </row>
    <row r="352" customFormat="false" ht="15" hidden="false" customHeight="false" outlineLevel="0" collapsed="false">
      <c r="A352" s="19"/>
      <c r="B352" s="7"/>
      <c r="C352" s="7"/>
      <c r="D352" s="7"/>
      <c r="E352" s="17"/>
      <c r="F352" s="7"/>
      <c r="G352" s="7"/>
      <c r="H352" s="21" t="str">
        <f aca="false">IF(A352="","",MONTH(A352))</f>
        <v/>
      </c>
    </row>
    <row r="353" customFormat="false" ht="15" hidden="false" customHeight="false" outlineLevel="0" collapsed="false">
      <c r="A353" s="19"/>
      <c r="B353" s="7"/>
      <c r="C353" s="7"/>
      <c r="D353" s="7"/>
      <c r="E353" s="17"/>
      <c r="F353" s="7"/>
      <c r="G353" s="7"/>
      <c r="H353" s="21" t="str">
        <f aca="false">IF(A353="","",MONTH(A353))</f>
        <v/>
      </c>
    </row>
    <row r="354" customFormat="false" ht="15" hidden="false" customHeight="false" outlineLevel="0" collapsed="false">
      <c r="A354" s="19"/>
      <c r="B354" s="7"/>
      <c r="C354" s="7"/>
      <c r="D354" s="7"/>
      <c r="E354" s="17"/>
      <c r="F354" s="7"/>
      <c r="G354" s="7"/>
      <c r="H354" s="21" t="str">
        <f aca="false">IF(A354="","",MONTH(A354))</f>
        <v/>
      </c>
    </row>
    <row r="355" customFormat="false" ht="15" hidden="false" customHeight="false" outlineLevel="0" collapsed="false">
      <c r="A355" s="19"/>
      <c r="B355" s="7"/>
      <c r="C355" s="7"/>
      <c r="D355" s="7"/>
      <c r="E355" s="17"/>
      <c r="F355" s="7"/>
      <c r="G355" s="7"/>
      <c r="H355" s="21" t="str">
        <f aca="false">IF(A355="","",MONTH(A355))</f>
        <v/>
      </c>
    </row>
    <row r="356" customFormat="false" ht="15" hidden="false" customHeight="false" outlineLevel="0" collapsed="false">
      <c r="A356" s="19"/>
      <c r="B356" s="7"/>
      <c r="C356" s="7"/>
      <c r="D356" s="7"/>
      <c r="E356" s="17"/>
      <c r="F356" s="7"/>
      <c r="G356" s="7"/>
      <c r="H356" s="21" t="str">
        <f aca="false">IF(A356="","",MONTH(A356))</f>
        <v/>
      </c>
    </row>
    <row r="357" customFormat="false" ht="15" hidden="false" customHeight="false" outlineLevel="0" collapsed="false">
      <c r="A357" s="19"/>
      <c r="B357" s="7"/>
      <c r="C357" s="7"/>
      <c r="D357" s="7"/>
      <c r="E357" s="17"/>
      <c r="F357" s="7"/>
      <c r="G357" s="7"/>
      <c r="H357" s="21" t="str">
        <f aca="false">IF(A357="","",MONTH(A357))</f>
        <v/>
      </c>
    </row>
    <row r="358" customFormat="false" ht="15" hidden="false" customHeight="false" outlineLevel="0" collapsed="false">
      <c r="A358" s="19"/>
      <c r="B358" s="7"/>
      <c r="C358" s="7"/>
      <c r="D358" s="7"/>
      <c r="E358" s="17"/>
      <c r="F358" s="7"/>
      <c r="G358" s="7"/>
      <c r="H358" s="21" t="str">
        <f aca="false">IF(A358="","",MONTH(A358))</f>
        <v/>
      </c>
    </row>
    <row r="359" customFormat="false" ht="15" hidden="false" customHeight="false" outlineLevel="0" collapsed="false">
      <c r="A359" s="19"/>
      <c r="B359" s="7"/>
      <c r="C359" s="7"/>
      <c r="D359" s="7"/>
      <c r="E359" s="17"/>
      <c r="F359" s="7"/>
      <c r="G359" s="7"/>
      <c r="H359" s="21" t="str">
        <f aca="false">IF(A359="","",MONTH(A359))</f>
        <v/>
      </c>
    </row>
    <row r="360" customFormat="false" ht="15" hidden="false" customHeight="false" outlineLevel="0" collapsed="false">
      <c r="A360" s="19"/>
      <c r="B360" s="7"/>
      <c r="C360" s="7"/>
      <c r="D360" s="7"/>
      <c r="E360" s="17"/>
      <c r="F360" s="7"/>
      <c r="G360" s="7"/>
      <c r="H360" s="21" t="str">
        <f aca="false">IF(A360="","",MONTH(A360))</f>
        <v/>
      </c>
    </row>
    <row r="361" customFormat="false" ht="15" hidden="false" customHeight="false" outlineLevel="0" collapsed="false">
      <c r="A361" s="19"/>
      <c r="B361" s="7"/>
      <c r="C361" s="7"/>
      <c r="D361" s="7"/>
      <c r="E361" s="17"/>
      <c r="F361" s="7"/>
      <c r="G361" s="7"/>
      <c r="H361" s="21" t="str">
        <f aca="false">IF(A361="","",MONTH(A361))</f>
        <v/>
      </c>
    </row>
    <row r="362" customFormat="false" ht="15" hidden="false" customHeight="false" outlineLevel="0" collapsed="false">
      <c r="A362" s="19"/>
      <c r="B362" s="7"/>
      <c r="C362" s="7"/>
      <c r="D362" s="7"/>
      <c r="E362" s="17"/>
      <c r="F362" s="7"/>
      <c r="G362" s="7"/>
      <c r="H362" s="21" t="str">
        <f aca="false">IF(A362="","",MONTH(A362))</f>
        <v/>
      </c>
    </row>
    <row r="363" customFormat="false" ht="15" hidden="false" customHeight="false" outlineLevel="0" collapsed="false">
      <c r="A363" s="19"/>
      <c r="B363" s="7"/>
      <c r="C363" s="7"/>
      <c r="D363" s="7"/>
      <c r="E363" s="17"/>
      <c r="F363" s="7"/>
      <c r="G363" s="7"/>
      <c r="H363" s="21" t="str">
        <f aca="false">IF(A363="","",MONTH(A363))</f>
        <v/>
      </c>
    </row>
    <row r="364" customFormat="false" ht="15" hidden="false" customHeight="false" outlineLevel="0" collapsed="false">
      <c r="A364" s="19"/>
      <c r="B364" s="7"/>
      <c r="C364" s="7"/>
      <c r="D364" s="7"/>
      <c r="E364" s="17"/>
      <c r="F364" s="7"/>
      <c r="G364" s="7"/>
      <c r="H364" s="21" t="str">
        <f aca="false">IF(A364="","",MONTH(A364))</f>
        <v/>
      </c>
    </row>
    <row r="365" customFormat="false" ht="15" hidden="false" customHeight="false" outlineLevel="0" collapsed="false">
      <c r="A365" s="19"/>
      <c r="B365" s="7"/>
      <c r="C365" s="7"/>
      <c r="D365" s="7"/>
      <c r="E365" s="17"/>
      <c r="F365" s="7"/>
      <c r="G365" s="7"/>
      <c r="H365" s="21" t="str">
        <f aca="false">IF(A365="","",MONTH(A365))</f>
        <v/>
      </c>
    </row>
    <row r="366" customFormat="false" ht="15" hidden="false" customHeight="false" outlineLevel="0" collapsed="false">
      <c r="A366" s="19"/>
      <c r="B366" s="7"/>
      <c r="C366" s="7"/>
      <c r="D366" s="7"/>
      <c r="E366" s="17"/>
      <c r="F366" s="7"/>
      <c r="G366" s="7"/>
      <c r="H366" s="21" t="str">
        <f aca="false">IF(A366="","",MONTH(A366))</f>
        <v/>
      </c>
    </row>
    <row r="367" customFormat="false" ht="15" hidden="false" customHeight="false" outlineLevel="0" collapsed="false">
      <c r="A367" s="19"/>
      <c r="B367" s="7"/>
      <c r="C367" s="7"/>
      <c r="D367" s="7"/>
      <c r="E367" s="17"/>
      <c r="F367" s="7"/>
      <c r="G367" s="7"/>
      <c r="H367" s="21" t="str">
        <f aca="false">IF(A367="","",MONTH(A367))</f>
        <v/>
      </c>
    </row>
    <row r="368" customFormat="false" ht="15" hidden="false" customHeight="false" outlineLevel="0" collapsed="false">
      <c r="A368" s="19"/>
      <c r="B368" s="7"/>
      <c r="C368" s="7"/>
      <c r="D368" s="7"/>
      <c r="E368" s="17"/>
      <c r="F368" s="7"/>
      <c r="G368" s="7"/>
      <c r="H368" s="21" t="str">
        <f aca="false">IF(A368="","",MONTH(A368))</f>
        <v/>
      </c>
    </row>
    <row r="369" customFormat="false" ht="15" hidden="false" customHeight="false" outlineLevel="0" collapsed="false">
      <c r="A369" s="19"/>
      <c r="B369" s="7"/>
      <c r="C369" s="7"/>
      <c r="D369" s="7"/>
      <c r="E369" s="17"/>
      <c r="F369" s="7"/>
      <c r="G369" s="7"/>
      <c r="H369" s="21" t="str">
        <f aca="false">IF(A369="","",MONTH(A369))</f>
        <v/>
      </c>
    </row>
    <row r="370" customFormat="false" ht="15" hidden="false" customHeight="false" outlineLevel="0" collapsed="false">
      <c r="A370" s="19"/>
      <c r="B370" s="7"/>
      <c r="C370" s="7"/>
      <c r="D370" s="7"/>
      <c r="E370" s="17"/>
      <c r="F370" s="7"/>
      <c r="G370" s="7"/>
      <c r="H370" s="21" t="str">
        <f aca="false">IF(A370="","",MONTH(A370))</f>
        <v/>
      </c>
    </row>
    <row r="371" customFormat="false" ht="15" hidden="false" customHeight="false" outlineLevel="0" collapsed="false">
      <c r="A371" s="19"/>
      <c r="B371" s="7"/>
      <c r="C371" s="7"/>
      <c r="D371" s="7"/>
      <c r="E371" s="17"/>
      <c r="F371" s="7"/>
      <c r="G371" s="7"/>
      <c r="H371" s="21" t="str">
        <f aca="false">IF(A371="","",MONTH(A371))</f>
        <v/>
      </c>
    </row>
    <row r="372" customFormat="false" ht="15" hidden="false" customHeight="false" outlineLevel="0" collapsed="false">
      <c r="A372" s="19"/>
      <c r="B372" s="7"/>
      <c r="C372" s="7"/>
      <c r="D372" s="7"/>
      <c r="E372" s="17"/>
      <c r="F372" s="7"/>
      <c r="G372" s="7"/>
      <c r="H372" s="21" t="str">
        <f aca="false">IF(A372="","",MONTH(A372))</f>
        <v/>
      </c>
    </row>
    <row r="373" customFormat="false" ht="15" hidden="false" customHeight="false" outlineLevel="0" collapsed="false">
      <c r="A373" s="19"/>
      <c r="B373" s="7"/>
      <c r="C373" s="7"/>
      <c r="D373" s="7"/>
      <c r="E373" s="17"/>
      <c r="F373" s="7"/>
      <c r="G373" s="7"/>
      <c r="H373" s="21" t="str">
        <f aca="false">IF(A373="","",MONTH(A373))</f>
        <v/>
      </c>
    </row>
    <row r="374" customFormat="false" ht="15" hidden="false" customHeight="false" outlineLevel="0" collapsed="false">
      <c r="A374" s="19"/>
      <c r="B374" s="7"/>
      <c r="C374" s="7"/>
      <c r="D374" s="7"/>
      <c r="E374" s="17"/>
      <c r="F374" s="7"/>
      <c r="G374" s="7"/>
      <c r="H374" s="21" t="str">
        <f aca="false">IF(A374="","",MONTH(A374))</f>
        <v/>
      </c>
    </row>
    <row r="375" customFormat="false" ht="15" hidden="false" customHeight="false" outlineLevel="0" collapsed="false">
      <c r="A375" s="19"/>
      <c r="B375" s="7"/>
      <c r="C375" s="7"/>
      <c r="D375" s="7"/>
      <c r="E375" s="17"/>
      <c r="F375" s="7"/>
      <c r="G375" s="7"/>
      <c r="H375" s="21" t="str">
        <f aca="false">IF(A375="","",MONTH(A375))</f>
        <v/>
      </c>
    </row>
    <row r="376" customFormat="false" ht="15" hidden="false" customHeight="false" outlineLevel="0" collapsed="false">
      <c r="A376" s="19"/>
      <c r="B376" s="7"/>
      <c r="C376" s="7"/>
      <c r="D376" s="7"/>
      <c r="E376" s="17"/>
      <c r="F376" s="7"/>
      <c r="G376" s="7"/>
      <c r="H376" s="21" t="str">
        <f aca="false">IF(A376="","",MONTH(A376))</f>
        <v/>
      </c>
    </row>
    <row r="377" customFormat="false" ht="15" hidden="false" customHeight="false" outlineLevel="0" collapsed="false">
      <c r="A377" s="19"/>
      <c r="B377" s="7"/>
      <c r="C377" s="7"/>
      <c r="D377" s="7"/>
      <c r="E377" s="17"/>
      <c r="F377" s="7"/>
      <c r="G377" s="7"/>
      <c r="H377" s="21" t="str">
        <f aca="false">IF(A377="","",MONTH(A377))</f>
        <v/>
      </c>
    </row>
    <row r="378" customFormat="false" ht="15" hidden="false" customHeight="false" outlineLevel="0" collapsed="false">
      <c r="A378" s="19"/>
      <c r="B378" s="7"/>
      <c r="C378" s="7"/>
      <c r="D378" s="7"/>
      <c r="E378" s="17"/>
      <c r="F378" s="7"/>
      <c r="G378" s="7"/>
      <c r="H378" s="21" t="str">
        <f aca="false">IF(A378="","",MONTH(A378))</f>
        <v/>
      </c>
    </row>
    <row r="379" customFormat="false" ht="15" hidden="false" customHeight="false" outlineLevel="0" collapsed="false">
      <c r="A379" s="19"/>
      <c r="B379" s="7"/>
      <c r="C379" s="7"/>
      <c r="D379" s="7"/>
      <c r="E379" s="17"/>
      <c r="F379" s="7"/>
      <c r="G379" s="7"/>
      <c r="H379" s="21" t="str">
        <f aca="false">IF(A379="","",MONTH(A379))</f>
        <v/>
      </c>
    </row>
    <row r="380" customFormat="false" ht="15" hidden="false" customHeight="false" outlineLevel="0" collapsed="false">
      <c r="A380" s="19"/>
      <c r="B380" s="7"/>
      <c r="C380" s="7"/>
      <c r="D380" s="7"/>
      <c r="E380" s="17"/>
      <c r="F380" s="7"/>
      <c r="G380" s="7"/>
      <c r="H380" s="21" t="str">
        <f aca="false">IF(A380="","",MONTH(A380))</f>
        <v/>
      </c>
    </row>
    <row r="381" customFormat="false" ht="15" hidden="false" customHeight="false" outlineLevel="0" collapsed="false">
      <c r="A381" s="19"/>
      <c r="B381" s="7"/>
      <c r="C381" s="7"/>
      <c r="D381" s="7"/>
      <c r="E381" s="17"/>
      <c r="F381" s="7"/>
      <c r="G381" s="7"/>
      <c r="H381" s="21" t="str">
        <f aca="false">IF(A381="","",MONTH(A381))</f>
        <v/>
      </c>
    </row>
    <row r="382" customFormat="false" ht="15" hidden="false" customHeight="false" outlineLevel="0" collapsed="false">
      <c r="A382" s="19"/>
      <c r="B382" s="7"/>
      <c r="C382" s="7"/>
      <c r="D382" s="7"/>
      <c r="E382" s="17"/>
      <c r="F382" s="7"/>
      <c r="G382" s="7"/>
      <c r="H382" s="21" t="str">
        <f aca="false">IF(A382="","",MONTH(A382))</f>
        <v/>
      </c>
    </row>
    <row r="383" customFormat="false" ht="15" hidden="false" customHeight="false" outlineLevel="0" collapsed="false">
      <c r="A383" s="19"/>
      <c r="B383" s="7"/>
      <c r="C383" s="7"/>
      <c r="D383" s="7"/>
      <c r="E383" s="17"/>
      <c r="F383" s="7"/>
      <c r="G383" s="7"/>
      <c r="H383" s="21" t="str">
        <f aca="false">IF(A383="","",MONTH(A383))</f>
        <v/>
      </c>
    </row>
    <row r="384" customFormat="false" ht="15" hidden="false" customHeight="false" outlineLevel="0" collapsed="false">
      <c r="A384" s="19"/>
      <c r="B384" s="7"/>
      <c r="C384" s="7"/>
      <c r="D384" s="7"/>
      <c r="E384" s="17"/>
      <c r="F384" s="7"/>
      <c r="G384" s="7"/>
      <c r="H384" s="21" t="str">
        <f aca="false">IF(A384="","",MONTH(A384))</f>
        <v/>
      </c>
    </row>
    <row r="385" customFormat="false" ht="15" hidden="false" customHeight="false" outlineLevel="0" collapsed="false">
      <c r="A385" s="19"/>
      <c r="B385" s="7"/>
      <c r="C385" s="7"/>
      <c r="D385" s="7"/>
      <c r="E385" s="17"/>
      <c r="F385" s="7"/>
      <c r="G385" s="7"/>
      <c r="H385" s="21" t="str">
        <f aca="false">IF(A385="","",MONTH(A385))</f>
        <v/>
      </c>
    </row>
    <row r="386" customFormat="false" ht="15" hidden="false" customHeight="false" outlineLevel="0" collapsed="false">
      <c r="A386" s="19"/>
      <c r="B386" s="7"/>
      <c r="C386" s="7"/>
      <c r="D386" s="7"/>
      <c r="E386" s="17"/>
      <c r="F386" s="7"/>
      <c r="G386" s="7"/>
      <c r="H386" s="21" t="str">
        <f aca="false">IF(A386="","",MONTH(A386))</f>
        <v/>
      </c>
    </row>
    <row r="387" customFormat="false" ht="15" hidden="false" customHeight="false" outlineLevel="0" collapsed="false">
      <c r="A387" s="19"/>
      <c r="B387" s="7"/>
      <c r="C387" s="7"/>
      <c r="D387" s="7"/>
      <c r="E387" s="17"/>
      <c r="F387" s="7"/>
      <c r="G387" s="7"/>
      <c r="H387" s="21" t="str">
        <f aca="false">IF(A387="","",MONTH(A387))</f>
        <v/>
      </c>
    </row>
    <row r="388" customFormat="false" ht="15" hidden="false" customHeight="false" outlineLevel="0" collapsed="false">
      <c r="A388" s="19"/>
      <c r="B388" s="7"/>
      <c r="C388" s="7"/>
      <c r="D388" s="7"/>
      <c r="E388" s="17"/>
      <c r="F388" s="7"/>
      <c r="G388" s="7"/>
      <c r="H388" s="21" t="str">
        <f aca="false">IF(A388="","",MONTH(A388))</f>
        <v/>
      </c>
    </row>
    <row r="389" customFormat="false" ht="15" hidden="false" customHeight="false" outlineLevel="0" collapsed="false">
      <c r="A389" s="19"/>
      <c r="B389" s="7"/>
      <c r="C389" s="7"/>
      <c r="D389" s="7"/>
      <c r="E389" s="17"/>
      <c r="F389" s="7"/>
      <c r="G389" s="7"/>
      <c r="H389" s="21" t="str">
        <f aca="false">IF(A389="","",MONTH(A389))</f>
        <v/>
      </c>
    </row>
    <row r="390" customFormat="false" ht="15" hidden="false" customHeight="false" outlineLevel="0" collapsed="false">
      <c r="A390" s="19"/>
      <c r="B390" s="7"/>
      <c r="C390" s="7"/>
      <c r="D390" s="7"/>
      <c r="E390" s="17"/>
      <c r="F390" s="7"/>
      <c r="G390" s="7"/>
      <c r="H390" s="21" t="str">
        <f aca="false">IF(A390="","",MONTH(A390))</f>
        <v/>
      </c>
    </row>
    <row r="391" customFormat="false" ht="15" hidden="false" customHeight="false" outlineLevel="0" collapsed="false">
      <c r="A391" s="19"/>
      <c r="B391" s="7"/>
      <c r="C391" s="7"/>
      <c r="D391" s="7"/>
      <c r="E391" s="17"/>
      <c r="F391" s="7"/>
      <c r="G391" s="7"/>
      <c r="H391" s="21" t="str">
        <f aca="false">IF(A391="","",MONTH(A391))</f>
        <v/>
      </c>
    </row>
    <row r="392" customFormat="false" ht="15" hidden="false" customHeight="false" outlineLevel="0" collapsed="false">
      <c r="A392" s="19"/>
      <c r="B392" s="7"/>
      <c r="C392" s="7"/>
      <c r="D392" s="7"/>
      <c r="E392" s="17"/>
      <c r="F392" s="7"/>
      <c r="G392" s="7"/>
      <c r="H392" s="21" t="str">
        <f aca="false">IF(A392="","",MONTH(A392))</f>
        <v/>
      </c>
    </row>
    <row r="393" customFormat="false" ht="15" hidden="false" customHeight="false" outlineLevel="0" collapsed="false">
      <c r="A393" s="19"/>
      <c r="B393" s="7"/>
      <c r="C393" s="7"/>
      <c r="D393" s="7"/>
      <c r="E393" s="17"/>
      <c r="F393" s="7"/>
      <c r="G393" s="7"/>
      <c r="H393" s="21" t="str">
        <f aca="false">IF(A393="","",MONTH(A393))</f>
        <v/>
      </c>
    </row>
    <row r="394" customFormat="false" ht="15" hidden="false" customHeight="false" outlineLevel="0" collapsed="false">
      <c r="A394" s="19"/>
      <c r="B394" s="7"/>
      <c r="C394" s="7"/>
      <c r="D394" s="7"/>
      <c r="E394" s="17"/>
      <c r="F394" s="7"/>
      <c r="G394" s="7"/>
      <c r="H394" s="21" t="str">
        <f aca="false">IF(A394="","",MONTH(A394))</f>
        <v/>
      </c>
    </row>
    <row r="395" customFormat="false" ht="15" hidden="false" customHeight="false" outlineLevel="0" collapsed="false">
      <c r="A395" s="19"/>
      <c r="B395" s="7"/>
      <c r="C395" s="7"/>
      <c r="D395" s="7"/>
      <c r="E395" s="17"/>
      <c r="F395" s="7"/>
      <c r="G395" s="7"/>
      <c r="H395" s="21" t="str">
        <f aca="false">IF(A395="","",MONTH(A395))</f>
        <v/>
      </c>
    </row>
    <row r="396" customFormat="false" ht="15" hidden="false" customHeight="false" outlineLevel="0" collapsed="false">
      <c r="A396" s="19"/>
      <c r="B396" s="7"/>
      <c r="C396" s="7"/>
      <c r="D396" s="7"/>
      <c r="E396" s="17"/>
      <c r="F396" s="7"/>
      <c r="G396" s="7"/>
      <c r="H396" s="21" t="str">
        <f aca="false">IF(A396="","",MONTH(A396))</f>
        <v/>
      </c>
    </row>
    <row r="397" customFormat="false" ht="15" hidden="false" customHeight="false" outlineLevel="0" collapsed="false">
      <c r="A397" s="19"/>
      <c r="B397" s="7"/>
      <c r="C397" s="7"/>
      <c r="D397" s="7"/>
      <c r="E397" s="17"/>
      <c r="F397" s="7"/>
      <c r="G397" s="7"/>
      <c r="H397" s="21" t="str">
        <f aca="false">IF(A397="","",MONTH(A397))</f>
        <v/>
      </c>
    </row>
    <row r="398" customFormat="false" ht="15" hidden="false" customHeight="false" outlineLevel="0" collapsed="false">
      <c r="A398" s="19"/>
      <c r="B398" s="7"/>
      <c r="C398" s="7"/>
      <c r="D398" s="7"/>
      <c r="E398" s="17"/>
      <c r="F398" s="7"/>
      <c r="G398" s="7"/>
      <c r="H398" s="21" t="str">
        <f aca="false">IF(A398="","",MONTH(A398))</f>
        <v/>
      </c>
    </row>
    <row r="399" customFormat="false" ht="15" hidden="false" customHeight="false" outlineLevel="0" collapsed="false">
      <c r="A399" s="19"/>
      <c r="B399" s="7"/>
      <c r="C399" s="7"/>
      <c r="D399" s="7"/>
      <c r="E399" s="17"/>
      <c r="F399" s="7"/>
      <c r="G399" s="7"/>
      <c r="H399" s="21" t="str">
        <f aca="false">IF(A399="","",MONTH(A399))</f>
        <v/>
      </c>
    </row>
    <row r="400" customFormat="false" ht="15" hidden="false" customHeight="false" outlineLevel="0" collapsed="false">
      <c r="A400" s="19"/>
      <c r="B400" s="7"/>
      <c r="C400" s="7"/>
      <c r="D400" s="7"/>
      <c r="E400" s="17"/>
      <c r="F400" s="7"/>
      <c r="G400" s="7"/>
      <c r="H400" s="21" t="str">
        <f aca="false">IF(A400="","",MONTH(A400))</f>
        <v/>
      </c>
    </row>
    <row r="401" customFormat="false" ht="15" hidden="false" customHeight="false" outlineLevel="0" collapsed="false">
      <c r="A401" s="19"/>
      <c r="B401" s="7"/>
      <c r="C401" s="7"/>
      <c r="D401" s="7"/>
      <c r="E401" s="17"/>
      <c r="F401" s="7"/>
      <c r="G401" s="7"/>
      <c r="H401" s="21" t="str">
        <f aca="false">IF(A401="","",MONTH(A401))</f>
        <v/>
      </c>
    </row>
    <row r="402" customFormat="false" ht="15" hidden="false" customHeight="false" outlineLevel="0" collapsed="false">
      <c r="A402" s="19"/>
      <c r="B402" s="7"/>
      <c r="C402" s="7"/>
      <c r="D402" s="7"/>
      <c r="E402" s="17"/>
      <c r="F402" s="7"/>
      <c r="G402" s="7"/>
      <c r="H402" s="21" t="str">
        <f aca="false">IF(A402="","",MONTH(A402))</f>
        <v/>
      </c>
    </row>
    <row r="403" customFormat="false" ht="15" hidden="false" customHeight="false" outlineLevel="0" collapsed="false">
      <c r="A403" s="19"/>
      <c r="B403" s="7"/>
      <c r="C403" s="7"/>
      <c r="D403" s="7"/>
      <c r="E403" s="17"/>
      <c r="F403" s="7"/>
      <c r="G403" s="7"/>
      <c r="H403" s="21" t="str">
        <f aca="false">IF(A403="","",MONTH(A403))</f>
        <v/>
      </c>
    </row>
    <row r="404" customFormat="false" ht="15" hidden="false" customHeight="false" outlineLevel="0" collapsed="false">
      <c r="A404" s="19"/>
      <c r="B404" s="7"/>
      <c r="C404" s="7"/>
      <c r="D404" s="7"/>
      <c r="E404" s="17"/>
      <c r="F404" s="7"/>
      <c r="G404" s="7"/>
      <c r="H404" s="21" t="str">
        <f aca="false">IF(A404="","",MONTH(A404))</f>
        <v/>
      </c>
    </row>
    <row r="405" customFormat="false" ht="15" hidden="false" customHeight="false" outlineLevel="0" collapsed="false">
      <c r="A405" s="19"/>
      <c r="B405" s="7"/>
      <c r="C405" s="7"/>
      <c r="D405" s="7"/>
      <c r="E405" s="17"/>
      <c r="F405" s="7"/>
      <c r="G405" s="7"/>
      <c r="H405" s="21" t="str">
        <f aca="false">IF(A405="","",MONTH(A405))</f>
        <v/>
      </c>
    </row>
    <row r="406" customFormat="false" ht="15" hidden="false" customHeight="false" outlineLevel="0" collapsed="false">
      <c r="A406" s="19"/>
      <c r="B406" s="7"/>
      <c r="C406" s="7"/>
      <c r="D406" s="7"/>
      <c r="E406" s="17"/>
      <c r="F406" s="7"/>
      <c r="G406" s="7"/>
      <c r="H406" s="21" t="str">
        <f aca="false">IF(A406="","",MONTH(A406))</f>
        <v/>
      </c>
    </row>
    <row r="407" customFormat="false" ht="15" hidden="false" customHeight="false" outlineLevel="0" collapsed="false">
      <c r="A407" s="19"/>
      <c r="B407" s="7"/>
      <c r="C407" s="7"/>
      <c r="D407" s="7"/>
      <c r="E407" s="17"/>
      <c r="F407" s="7"/>
      <c r="G407" s="7"/>
      <c r="H407" s="21" t="str">
        <f aca="false">IF(A407="","",MONTH(A407))</f>
        <v/>
      </c>
    </row>
    <row r="408" customFormat="false" ht="15" hidden="false" customHeight="false" outlineLevel="0" collapsed="false">
      <c r="A408" s="19"/>
      <c r="B408" s="7"/>
      <c r="C408" s="7"/>
      <c r="D408" s="7"/>
      <c r="E408" s="17"/>
      <c r="F408" s="7"/>
      <c r="G408" s="7"/>
      <c r="H408" s="21" t="str">
        <f aca="false">IF(A408="","",MONTH(A408))</f>
        <v/>
      </c>
    </row>
    <row r="409" customFormat="false" ht="15" hidden="false" customHeight="false" outlineLevel="0" collapsed="false">
      <c r="A409" s="19"/>
      <c r="B409" s="7"/>
      <c r="C409" s="7"/>
      <c r="D409" s="7"/>
      <c r="E409" s="17"/>
      <c r="F409" s="7"/>
      <c r="G409" s="7"/>
      <c r="H409" s="21" t="str">
        <f aca="false">IF(A409="","",MONTH(A409))</f>
        <v/>
      </c>
    </row>
    <row r="410" customFormat="false" ht="15" hidden="false" customHeight="false" outlineLevel="0" collapsed="false">
      <c r="A410" s="19"/>
      <c r="B410" s="7"/>
      <c r="C410" s="7"/>
      <c r="D410" s="7"/>
      <c r="E410" s="17"/>
      <c r="F410" s="7"/>
      <c r="G410" s="7"/>
      <c r="H410" s="21" t="str">
        <f aca="false">IF(A410="","",MONTH(A410))</f>
        <v/>
      </c>
    </row>
    <row r="411" customFormat="false" ht="15" hidden="false" customHeight="false" outlineLevel="0" collapsed="false">
      <c r="A411" s="19"/>
      <c r="B411" s="7"/>
      <c r="C411" s="7"/>
      <c r="D411" s="7"/>
      <c r="E411" s="17"/>
      <c r="F411" s="7"/>
      <c r="G411" s="7"/>
      <c r="H411" s="21" t="str">
        <f aca="false">IF(A411="","",MONTH(A411))</f>
        <v/>
      </c>
    </row>
    <row r="412" customFormat="false" ht="15" hidden="false" customHeight="false" outlineLevel="0" collapsed="false">
      <c r="A412" s="19"/>
      <c r="B412" s="7"/>
      <c r="C412" s="7"/>
      <c r="D412" s="7"/>
      <c r="E412" s="17"/>
      <c r="F412" s="7"/>
      <c r="G412" s="7"/>
      <c r="H412" s="21" t="str">
        <f aca="false">IF(A412="","",MONTH(A412))</f>
        <v/>
      </c>
    </row>
    <row r="413" customFormat="false" ht="15" hidden="false" customHeight="false" outlineLevel="0" collapsed="false">
      <c r="A413" s="19"/>
      <c r="B413" s="7"/>
      <c r="C413" s="7"/>
      <c r="D413" s="7"/>
      <c r="E413" s="17"/>
      <c r="F413" s="7"/>
      <c r="G413" s="7"/>
      <c r="H413" s="21" t="str">
        <f aca="false">IF(A413="","",MONTH(A413))</f>
        <v/>
      </c>
    </row>
    <row r="414" customFormat="false" ht="15" hidden="false" customHeight="false" outlineLevel="0" collapsed="false">
      <c r="A414" s="19"/>
      <c r="B414" s="7"/>
      <c r="C414" s="7"/>
      <c r="D414" s="7"/>
      <c r="E414" s="17"/>
      <c r="F414" s="7"/>
      <c r="G414" s="7"/>
      <c r="H414" s="21" t="str">
        <f aca="false">IF(A414="","",MONTH(A414))</f>
        <v/>
      </c>
    </row>
    <row r="415" customFormat="false" ht="15" hidden="false" customHeight="false" outlineLevel="0" collapsed="false">
      <c r="A415" s="19"/>
      <c r="B415" s="7"/>
      <c r="C415" s="7"/>
      <c r="D415" s="7"/>
      <c r="E415" s="17"/>
      <c r="F415" s="7"/>
      <c r="G415" s="7"/>
      <c r="H415" s="21" t="str">
        <f aca="false">IF(A415="","",MONTH(A415))</f>
        <v/>
      </c>
    </row>
    <row r="416" customFormat="false" ht="15" hidden="false" customHeight="false" outlineLevel="0" collapsed="false">
      <c r="A416" s="19"/>
      <c r="B416" s="7"/>
      <c r="C416" s="7"/>
      <c r="D416" s="7"/>
      <c r="E416" s="17"/>
      <c r="F416" s="7"/>
      <c r="G416" s="7"/>
      <c r="H416" s="21" t="str">
        <f aca="false">IF(A416="","",MONTH(A416))</f>
        <v/>
      </c>
    </row>
    <row r="417" customFormat="false" ht="15" hidden="false" customHeight="false" outlineLevel="0" collapsed="false">
      <c r="A417" s="19"/>
      <c r="B417" s="7"/>
      <c r="C417" s="7"/>
      <c r="D417" s="7"/>
      <c r="E417" s="17"/>
      <c r="F417" s="7"/>
      <c r="G417" s="7"/>
      <c r="H417" s="21" t="str">
        <f aca="false">IF(A417="","",MONTH(A417))</f>
        <v/>
      </c>
    </row>
    <row r="418" customFormat="false" ht="15" hidden="false" customHeight="false" outlineLevel="0" collapsed="false">
      <c r="A418" s="19"/>
      <c r="B418" s="7"/>
      <c r="C418" s="7"/>
      <c r="D418" s="7"/>
      <c r="E418" s="17"/>
      <c r="F418" s="7"/>
      <c r="G418" s="7"/>
      <c r="H418" s="21" t="str">
        <f aca="false">IF(A418="","",MONTH(A418))</f>
        <v/>
      </c>
    </row>
    <row r="419" customFormat="false" ht="15" hidden="false" customHeight="false" outlineLevel="0" collapsed="false">
      <c r="A419" s="19"/>
      <c r="B419" s="7"/>
      <c r="C419" s="7"/>
      <c r="D419" s="7"/>
      <c r="E419" s="17"/>
      <c r="F419" s="7"/>
      <c r="G419" s="7"/>
      <c r="H419" s="21" t="str">
        <f aca="false">IF(A419="","",MONTH(A419))</f>
        <v/>
      </c>
    </row>
    <row r="420" customFormat="false" ht="15" hidden="false" customHeight="false" outlineLevel="0" collapsed="false">
      <c r="A420" s="19"/>
      <c r="B420" s="7"/>
      <c r="C420" s="7"/>
      <c r="D420" s="7"/>
      <c r="E420" s="17"/>
      <c r="F420" s="7"/>
      <c r="G420" s="7"/>
      <c r="H420" s="21" t="str">
        <f aca="false">IF(A420="","",MONTH(A420))</f>
        <v/>
      </c>
    </row>
    <row r="421" customFormat="false" ht="15" hidden="false" customHeight="false" outlineLevel="0" collapsed="false">
      <c r="A421" s="19"/>
      <c r="B421" s="7"/>
      <c r="C421" s="7"/>
      <c r="D421" s="7"/>
      <c r="E421" s="17"/>
      <c r="F421" s="7"/>
      <c r="G421" s="7"/>
      <c r="H421" s="21" t="str">
        <f aca="false">IF(A421="","",MONTH(A421))</f>
        <v/>
      </c>
    </row>
    <row r="422" customFormat="false" ht="15" hidden="false" customHeight="false" outlineLevel="0" collapsed="false">
      <c r="A422" s="19"/>
      <c r="B422" s="7"/>
      <c r="C422" s="7"/>
      <c r="D422" s="7"/>
      <c r="E422" s="17"/>
      <c r="F422" s="7"/>
      <c r="G422" s="7"/>
      <c r="H422" s="21" t="str">
        <f aca="false">IF(A422="","",MONTH(A422))</f>
        <v/>
      </c>
    </row>
    <row r="423" customFormat="false" ht="15" hidden="false" customHeight="false" outlineLevel="0" collapsed="false">
      <c r="A423" s="19"/>
      <c r="B423" s="7"/>
      <c r="C423" s="7"/>
      <c r="D423" s="7"/>
      <c r="E423" s="17"/>
      <c r="F423" s="7"/>
      <c r="G423" s="7"/>
      <c r="H423" s="21" t="str">
        <f aca="false">IF(A423="","",MONTH(A423))</f>
        <v/>
      </c>
    </row>
    <row r="424" customFormat="false" ht="15" hidden="false" customHeight="false" outlineLevel="0" collapsed="false">
      <c r="A424" s="19"/>
      <c r="B424" s="7"/>
      <c r="C424" s="7"/>
      <c r="D424" s="7"/>
      <c r="E424" s="17"/>
      <c r="F424" s="7"/>
      <c r="G424" s="7"/>
      <c r="H424" s="21" t="str">
        <f aca="false">IF(A424="","",MONTH(A424))</f>
        <v/>
      </c>
    </row>
    <row r="425" customFormat="false" ht="15" hidden="false" customHeight="false" outlineLevel="0" collapsed="false">
      <c r="A425" s="19"/>
      <c r="B425" s="7"/>
      <c r="C425" s="7"/>
      <c r="D425" s="7"/>
      <c r="E425" s="17"/>
      <c r="F425" s="7"/>
      <c r="G425" s="7"/>
      <c r="H425" s="21" t="str">
        <f aca="false">IF(A425="","",MONTH(A425))</f>
        <v/>
      </c>
    </row>
    <row r="426" customFormat="false" ht="15" hidden="false" customHeight="false" outlineLevel="0" collapsed="false">
      <c r="A426" s="19"/>
      <c r="B426" s="7"/>
      <c r="C426" s="7"/>
      <c r="D426" s="7"/>
      <c r="E426" s="17"/>
      <c r="F426" s="7"/>
      <c r="G426" s="7"/>
      <c r="H426" s="21" t="str">
        <f aca="false">IF(A426="","",MONTH(A426))</f>
        <v/>
      </c>
    </row>
    <row r="427" customFormat="false" ht="15" hidden="false" customHeight="false" outlineLevel="0" collapsed="false">
      <c r="A427" s="19"/>
      <c r="B427" s="7"/>
      <c r="C427" s="7"/>
      <c r="D427" s="7"/>
      <c r="E427" s="17"/>
      <c r="F427" s="7"/>
      <c r="G427" s="7"/>
      <c r="H427" s="21" t="str">
        <f aca="false">IF(A427="","",MONTH(A427))</f>
        <v/>
      </c>
    </row>
    <row r="428" customFormat="false" ht="15" hidden="false" customHeight="false" outlineLevel="0" collapsed="false">
      <c r="A428" s="19"/>
      <c r="B428" s="7"/>
      <c r="C428" s="7"/>
      <c r="D428" s="7"/>
      <c r="E428" s="17"/>
      <c r="F428" s="7"/>
      <c r="G428" s="7"/>
      <c r="H428" s="21" t="str">
        <f aca="false">IF(A428="","",MONTH(A428))</f>
        <v/>
      </c>
    </row>
    <row r="429" customFormat="false" ht="15" hidden="false" customHeight="false" outlineLevel="0" collapsed="false">
      <c r="A429" s="19"/>
      <c r="B429" s="7"/>
      <c r="C429" s="7"/>
      <c r="D429" s="7"/>
      <c r="E429" s="17"/>
      <c r="F429" s="7"/>
      <c r="G429" s="7"/>
      <c r="H429" s="21" t="str">
        <f aca="false">IF(A429="","",MONTH(A429))</f>
        <v/>
      </c>
    </row>
    <row r="430" customFormat="false" ht="15" hidden="false" customHeight="false" outlineLevel="0" collapsed="false">
      <c r="A430" s="19"/>
      <c r="B430" s="7"/>
      <c r="C430" s="7"/>
      <c r="D430" s="7"/>
      <c r="E430" s="17"/>
      <c r="F430" s="7"/>
      <c r="G430" s="7"/>
      <c r="H430" s="21" t="str">
        <f aca="false">IF(A430="","",MONTH(A430))</f>
        <v/>
      </c>
    </row>
    <row r="431" customFormat="false" ht="15" hidden="false" customHeight="false" outlineLevel="0" collapsed="false">
      <c r="A431" s="19"/>
      <c r="B431" s="7"/>
      <c r="C431" s="7"/>
      <c r="D431" s="7"/>
      <c r="E431" s="17"/>
      <c r="F431" s="7"/>
      <c r="G431" s="7"/>
      <c r="H431" s="21" t="str">
        <f aca="false">IF(A431="","",MONTH(A431))</f>
        <v/>
      </c>
    </row>
    <row r="432" customFormat="false" ht="15" hidden="false" customHeight="false" outlineLevel="0" collapsed="false">
      <c r="A432" s="19"/>
      <c r="B432" s="7"/>
      <c r="C432" s="7"/>
      <c r="D432" s="7"/>
      <c r="E432" s="17"/>
      <c r="F432" s="7"/>
      <c r="G432" s="7"/>
      <c r="H432" s="21" t="str">
        <f aca="false">IF(A432="","",MONTH(A432))</f>
        <v/>
      </c>
    </row>
    <row r="433" customFormat="false" ht="15" hidden="false" customHeight="false" outlineLevel="0" collapsed="false">
      <c r="A433" s="19"/>
      <c r="B433" s="7"/>
      <c r="C433" s="7"/>
      <c r="D433" s="7"/>
      <c r="E433" s="17"/>
      <c r="F433" s="7"/>
      <c r="G433" s="7"/>
      <c r="H433" s="21" t="str">
        <f aca="false">IF(A433="","",MONTH(A433))</f>
        <v/>
      </c>
    </row>
    <row r="434" customFormat="false" ht="15" hidden="false" customHeight="false" outlineLevel="0" collapsed="false">
      <c r="A434" s="19"/>
      <c r="B434" s="7"/>
      <c r="C434" s="7"/>
      <c r="D434" s="7"/>
      <c r="E434" s="17"/>
      <c r="F434" s="7"/>
      <c r="G434" s="7"/>
      <c r="H434" s="21" t="str">
        <f aca="false">IF(A434="","",MONTH(A434))</f>
        <v/>
      </c>
    </row>
    <row r="435" customFormat="false" ht="15" hidden="false" customHeight="false" outlineLevel="0" collapsed="false">
      <c r="A435" s="19"/>
      <c r="B435" s="7"/>
      <c r="C435" s="7"/>
      <c r="D435" s="7"/>
      <c r="E435" s="17"/>
      <c r="F435" s="7"/>
      <c r="G435" s="7"/>
      <c r="H435" s="21" t="str">
        <f aca="false">IF(A435="","",MONTH(A435))</f>
        <v/>
      </c>
    </row>
    <row r="436" customFormat="false" ht="15" hidden="false" customHeight="false" outlineLevel="0" collapsed="false">
      <c r="A436" s="19"/>
      <c r="B436" s="7"/>
      <c r="C436" s="7"/>
      <c r="D436" s="7"/>
      <c r="E436" s="17"/>
      <c r="F436" s="7"/>
      <c r="G436" s="7"/>
      <c r="H436" s="21" t="str">
        <f aca="false">IF(A436="","",MONTH(A436))</f>
        <v/>
      </c>
    </row>
    <row r="437" customFormat="false" ht="15" hidden="false" customHeight="false" outlineLevel="0" collapsed="false">
      <c r="A437" s="19"/>
      <c r="B437" s="7"/>
      <c r="C437" s="7"/>
      <c r="D437" s="7"/>
      <c r="E437" s="17"/>
      <c r="F437" s="7"/>
      <c r="G437" s="7"/>
      <c r="H437" s="21" t="str">
        <f aca="false">IF(A437="","",MONTH(A437))</f>
        <v/>
      </c>
    </row>
    <row r="438" customFormat="false" ht="15" hidden="false" customHeight="false" outlineLevel="0" collapsed="false">
      <c r="A438" s="19"/>
      <c r="B438" s="7"/>
      <c r="C438" s="7"/>
      <c r="D438" s="7"/>
      <c r="E438" s="17"/>
      <c r="F438" s="7"/>
      <c r="G438" s="7"/>
      <c r="H438" s="21" t="str">
        <f aca="false">IF(A438="","",MONTH(A438))</f>
        <v/>
      </c>
    </row>
    <row r="439" customFormat="false" ht="15" hidden="false" customHeight="false" outlineLevel="0" collapsed="false">
      <c r="A439" s="19"/>
      <c r="B439" s="7"/>
      <c r="C439" s="7"/>
      <c r="D439" s="7"/>
      <c r="E439" s="17"/>
      <c r="F439" s="7"/>
      <c r="G439" s="7"/>
      <c r="H439" s="21" t="str">
        <f aca="false">IF(A439="","",MONTH(A439))</f>
        <v/>
      </c>
    </row>
    <row r="440" customFormat="false" ht="15" hidden="false" customHeight="false" outlineLevel="0" collapsed="false">
      <c r="A440" s="19"/>
      <c r="B440" s="7"/>
      <c r="C440" s="7"/>
      <c r="D440" s="7"/>
      <c r="E440" s="17"/>
      <c r="F440" s="7"/>
      <c r="G440" s="7"/>
      <c r="H440" s="21" t="str">
        <f aca="false">IF(A440="","",MONTH(A440))</f>
        <v/>
      </c>
    </row>
    <row r="441" customFormat="false" ht="15" hidden="false" customHeight="false" outlineLevel="0" collapsed="false">
      <c r="A441" s="19"/>
      <c r="B441" s="7"/>
      <c r="C441" s="7"/>
      <c r="D441" s="7"/>
      <c r="E441" s="17"/>
      <c r="F441" s="7"/>
      <c r="G441" s="7"/>
      <c r="H441" s="21" t="str">
        <f aca="false">IF(A441="","",MONTH(A441))</f>
        <v/>
      </c>
    </row>
    <row r="442" customFormat="false" ht="15" hidden="false" customHeight="false" outlineLevel="0" collapsed="false">
      <c r="A442" s="19"/>
      <c r="B442" s="7"/>
      <c r="C442" s="7"/>
      <c r="D442" s="7"/>
      <c r="E442" s="17"/>
      <c r="F442" s="7"/>
      <c r="G442" s="7"/>
      <c r="H442" s="21" t="str">
        <f aca="false">IF(A442="","",MONTH(A442))</f>
        <v/>
      </c>
    </row>
    <row r="443" customFormat="false" ht="15" hidden="false" customHeight="false" outlineLevel="0" collapsed="false">
      <c r="A443" s="19"/>
      <c r="B443" s="7"/>
      <c r="C443" s="7"/>
      <c r="D443" s="7"/>
      <c r="E443" s="17"/>
      <c r="F443" s="7"/>
      <c r="G443" s="7"/>
      <c r="H443" s="21" t="str">
        <f aca="false">IF(A443="","",MONTH(A443))</f>
        <v/>
      </c>
    </row>
    <row r="444" customFormat="false" ht="15" hidden="false" customHeight="false" outlineLevel="0" collapsed="false">
      <c r="A444" s="19"/>
      <c r="B444" s="7"/>
      <c r="C444" s="7"/>
      <c r="D444" s="7"/>
      <c r="E444" s="17"/>
      <c r="F444" s="7"/>
      <c r="G444" s="7"/>
      <c r="H444" s="21" t="str">
        <f aca="false">IF(A444="","",MONTH(A444))</f>
        <v/>
      </c>
    </row>
    <row r="445" customFormat="false" ht="15" hidden="false" customHeight="false" outlineLevel="0" collapsed="false">
      <c r="A445" s="19"/>
      <c r="B445" s="7"/>
      <c r="C445" s="7"/>
      <c r="D445" s="7"/>
      <c r="E445" s="17"/>
      <c r="F445" s="7"/>
      <c r="G445" s="7"/>
      <c r="H445" s="21" t="str">
        <f aca="false">IF(A445="","",MONTH(A445))</f>
        <v/>
      </c>
    </row>
    <row r="446" customFormat="false" ht="15" hidden="false" customHeight="false" outlineLevel="0" collapsed="false">
      <c r="A446" s="19"/>
      <c r="B446" s="7"/>
      <c r="C446" s="7"/>
      <c r="D446" s="7"/>
      <c r="E446" s="17"/>
      <c r="F446" s="7"/>
      <c r="G446" s="7"/>
      <c r="H446" s="21" t="str">
        <f aca="false">IF(A446="","",MONTH(A446))</f>
        <v/>
      </c>
    </row>
    <row r="447" customFormat="false" ht="15" hidden="false" customHeight="false" outlineLevel="0" collapsed="false">
      <c r="A447" s="19"/>
      <c r="B447" s="7"/>
      <c r="C447" s="7"/>
      <c r="D447" s="7"/>
      <c r="E447" s="17"/>
      <c r="F447" s="7"/>
      <c r="G447" s="7"/>
      <c r="H447" s="21" t="str">
        <f aca="false">IF(A447="","",MONTH(A447))</f>
        <v/>
      </c>
    </row>
    <row r="448" customFormat="false" ht="15" hidden="false" customHeight="false" outlineLevel="0" collapsed="false">
      <c r="A448" s="19"/>
      <c r="B448" s="7"/>
      <c r="C448" s="7"/>
      <c r="D448" s="7"/>
      <c r="E448" s="17"/>
      <c r="F448" s="7"/>
      <c r="G448" s="7"/>
      <c r="H448" s="21" t="str">
        <f aca="false">IF(A448="","",MONTH(A448))</f>
        <v/>
      </c>
    </row>
    <row r="449" customFormat="false" ht="15" hidden="false" customHeight="false" outlineLevel="0" collapsed="false">
      <c r="A449" s="19"/>
      <c r="B449" s="7"/>
      <c r="C449" s="7"/>
      <c r="D449" s="7"/>
      <c r="E449" s="17"/>
      <c r="F449" s="7"/>
      <c r="G449" s="7"/>
      <c r="H449" s="21" t="str">
        <f aca="false">IF(A449="","",MONTH(A449))</f>
        <v/>
      </c>
    </row>
    <row r="450" customFormat="false" ht="15" hidden="false" customHeight="false" outlineLevel="0" collapsed="false">
      <c r="A450" s="19"/>
      <c r="B450" s="7"/>
      <c r="C450" s="7"/>
      <c r="D450" s="7"/>
      <c r="E450" s="17"/>
      <c r="F450" s="7"/>
      <c r="G450" s="7"/>
      <c r="H450" s="21" t="str">
        <f aca="false">IF(A450="","",MONTH(A450))</f>
        <v/>
      </c>
    </row>
    <row r="451" customFormat="false" ht="15" hidden="false" customHeight="false" outlineLevel="0" collapsed="false">
      <c r="A451" s="19"/>
      <c r="B451" s="7"/>
      <c r="C451" s="7"/>
      <c r="D451" s="7"/>
      <c r="E451" s="17"/>
      <c r="F451" s="7"/>
      <c r="G451" s="7"/>
      <c r="H451" s="21" t="str">
        <f aca="false">IF(A451="","",MONTH(A451))</f>
        <v/>
      </c>
    </row>
    <row r="452" customFormat="false" ht="15" hidden="false" customHeight="false" outlineLevel="0" collapsed="false">
      <c r="A452" s="19"/>
      <c r="B452" s="7"/>
      <c r="C452" s="7"/>
      <c r="D452" s="7"/>
      <c r="E452" s="17"/>
      <c r="F452" s="7"/>
      <c r="G452" s="7"/>
      <c r="H452" s="21" t="str">
        <f aca="false">IF(A452="","",MONTH(A452))</f>
        <v/>
      </c>
    </row>
    <row r="453" customFormat="false" ht="15" hidden="false" customHeight="false" outlineLevel="0" collapsed="false">
      <c r="A453" s="19"/>
      <c r="B453" s="7"/>
      <c r="C453" s="7"/>
      <c r="D453" s="7"/>
      <c r="E453" s="17"/>
      <c r="F453" s="7"/>
      <c r="G453" s="7"/>
      <c r="H453" s="21" t="str">
        <f aca="false">IF(A453="","",MONTH(A453))</f>
        <v/>
      </c>
    </row>
    <row r="454" customFormat="false" ht="15" hidden="false" customHeight="false" outlineLevel="0" collapsed="false">
      <c r="A454" s="19"/>
      <c r="B454" s="7"/>
      <c r="C454" s="7"/>
      <c r="D454" s="7"/>
      <c r="E454" s="17"/>
      <c r="F454" s="7"/>
      <c r="G454" s="7"/>
      <c r="H454" s="21" t="str">
        <f aca="false">IF(A454="","",MONTH(A454))</f>
        <v/>
      </c>
    </row>
    <row r="455" customFormat="false" ht="15" hidden="false" customHeight="false" outlineLevel="0" collapsed="false">
      <c r="A455" s="19"/>
      <c r="B455" s="7"/>
      <c r="C455" s="7"/>
      <c r="D455" s="7"/>
      <c r="E455" s="17"/>
      <c r="F455" s="7"/>
      <c r="G455" s="7"/>
      <c r="H455" s="21" t="str">
        <f aca="false">IF(A455="","",MONTH(A455))</f>
        <v/>
      </c>
    </row>
    <row r="456" customFormat="false" ht="15" hidden="false" customHeight="false" outlineLevel="0" collapsed="false">
      <c r="A456" s="19"/>
      <c r="B456" s="7"/>
      <c r="C456" s="7"/>
      <c r="D456" s="7"/>
      <c r="E456" s="17"/>
      <c r="F456" s="7"/>
      <c r="G456" s="7"/>
      <c r="H456" s="21" t="str">
        <f aca="false">IF(A456="","",MONTH(A456))</f>
        <v/>
      </c>
    </row>
    <row r="457" customFormat="false" ht="15" hidden="false" customHeight="false" outlineLevel="0" collapsed="false">
      <c r="A457" s="19"/>
      <c r="B457" s="7"/>
      <c r="C457" s="7"/>
      <c r="D457" s="7"/>
      <c r="E457" s="17"/>
      <c r="F457" s="7"/>
      <c r="G457" s="7"/>
      <c r="H457" s="21" t="str">
        <f aca="false">IF(A457="","",MONTH(A457))</f>
        <v/>
      </c>
    </row>
    <row r="458" customFormat="false" ht="15" hidden="false" customHeight="false" outlineLevel="0" collapsed="false">
      <c r="A458" s="19"/>
      <c r="B458" s="7"/>
      <c r="C458" s="7"/>
      <c r="D458" s="7"/>
      <c r="E458" s="17"/>
      <c r="F458" s="7"/>
      <c r="G458" s="7"/>
      <c r="H458" s="21" t="str">
        <f aca="false">IF(A458="","",MONTH(A458))</f>
        <v/>
      </c>
    </row>
    <row r="459" customFormat="false" ht="15" hidden="false" customHeight="false" outlineLevel="0" collapsed="false">
      <c r="A459" s="19"/>
      <c r="B459" s="7"/>
      <c r="C459" s="7"/>
      <c r="D459" s="7"/>
      <c r="E459" s="17"/>
      <c r="F459" s="7"/>
      <c r="G459" s="7"/>
      <c r="H459" s="21" t="str">
        <f aca="false">IF(A459="","",MONTH(A459))</f>
        <v/>
      </c>
    </row>
    <row r="460" customFormat="false" ht="15" hidden="false" customHeight="false" outlineLevel="0" collapsed="false">
      <c r="A460" s="19"/>
      <c r="B460" s="7"/>
      <c r="C460" s="7"/>
      <c r="D460" s="7"/>
      <c r="E460" s="17"/>
      <c r="F460" s="7"/>
      <c r="G460" s="7"/>
      <c r="H460" s="21" t="str">
        <f aca="false">IF(A460="","",MONTH(A460))</f>
        <v/>
      </c>
    </row>
    <row r="461" customFormat="false" ht="15" hidden="false" customHeight="false" outlineLevel="0" collapsed="false">
      <c r="A461" s="19"/>
      <c r="B461" s="7"/>
      <c r="C461" s="7"/>
      <c r="D461" s="7"/>
      <c r="E461" s="17"/>
      <c r="F461" s="7"/>
      <c r="G461" s="7"/>
      <c r="H461" s="21" t="str">
        <f aca="false">IF(A461="","",MONTH(A461))</f>
        <v/>
      </c>
    </row>
    <row r="462" customFormat="false" ht="15" hidden="false" customHeight="false" outlineLevel="0" collapsed="false">
      <c r="A462" s="19"/>
      <c r="B462" s="7"/>
      <c r="C462" s="7"/>
      <c r="D462" s="7"/>
      <c r="E462" s="17"/>
      <c r="F462" s="7"/>
      <c r="G462" s="7"/>
      <c r="H462" s="21" t="str">
        <f aca="false">IF(A462="","",MONTH(A462))</f>
        <v/>
      </c>
    </row>
    <row r="463" customFormat="false" ht="15" hidden="false" customHeight="false" outlineLevel="0" collapsed="false">
      <c r="A463" s="19"/>
      <c r="B463" s="7"/>
      <c r="C463" s="7"/>
      <c r="D463" s="7"/>
      <c r="E463" s="17"/>
      <c r="F463" s="7"/>
      <c r="G463" s="7"/>
      <c r="H463" s="21" t="str">
        <f aca="false">IF(A463="","",MONTH(A463))</f>
        <v/>
      </c>
    </row>
    <row r="464" customFormat="false" ht="15" hidden="false" customHeight="false" outlineLevel="0" collapsed="false">
      <c r="A464" s="19"/>
      <c r="B464" s="7"/>
      <c r="C464" s="7"/>
      <c r="D464" s="7"/>
      <c r="E464" s="17"/>
      <c r="F464" s="7"/>
      <c r="G464" s="7"/>
      <c r="H464" s="21" t="str">
        <f aca="false">IF(A464="","",MONTH(A464))</f>
        <v/>
      </c>
    </row>
    <row r="465" customFormat="false" ht="15" hidden="false" customHeight="false" outlineLevel="0" collapsed="false">
      <c r="A465" s="19"/>
      <c r="B465" s="7"/>
      <c r="C465" s="7"/>
      <c r="D465" s="7"/>
      <c r="E465" s="17"/>
      <c r="F465" s="7"/>
      <c r="G465" s="7"/>
      <c r="H465" s="21" t="str">
        <f aca="false">IF(A465="","",MONTH(A465))</f>
        <v/>
      </c>
    </row>
    <row r="466" customFormat="false" ht="15" hidden="false" customHeight="false" outlineLevel="0" collapsed="false">
      <c r="A466" s="19"/>
      <c r="B466" s="7"/>
      <c r="C466" s="7"/>
      <c r="D466" s="7"/>
      <c r="E466" s="17"/>
      <c r="F466" s="7"/>
      <c r="G466" s="7"/>
      <c r="H466" s="21" t="str">
        <f aca="false">IF(A466="","",MONTH(A466))</f>
        <v/>
      </c>
    </row>
    <row r="467" customFormat="false" ht="15" hidden="false" customHeight="false" outlineLevel="0" collapsed="false">
      <c r="A467" s="19"/>
      <c r="B467" s="7"/>
      <c r="C467" s="7"/>
      <c r="D467" s="7"/>
      <c r="E467" s="17"/>
      <c r="F467" s="7"/>
      <c r="G467" s="7"/>
      <c r="H467" s="21" t="str">
        <f aca="false">IF(A467="","",MONTH(A467))</f>
        <v/>
      </c>
    </row>
    <row r="468" customFormat="false" ht="15" hidden="false" customHeight="false" outlineLevel="0" collapsed="false">
      <c r="A468" s="19"/>
      <c r="B468" s="7"/>
      <c r="C468" s="7"/>
      <c r="D468" s="7"/>
      <c r="E468" s="17"/>
      <c r="F468" s="7"/>
      <c r="G468" s="7"/>
      <c r="H468" s="21" t="str">
        <f aca="false">IF(A468="","",MONTH(A468))</f>
        <v/>
      </c>
    </row>
    <row r="469" customFormat="false" ht="15" hidden="false" customHeight="false" outlineLevel="0" collapsed="false">
      <c r="A469" s="19"/>
      <c r="B469" s="7"/>
      <c r="C469" s="7"/>
      <c r="D469" s="7"/>
      <c r="E469" s="17"/>
      <c r="F469" s="7"/>
      <c r="G469" s="7"/>
      <c r="H469" s="21" t="str">
        <f aca="false">IF(A469="","",MONTH(A469))</f>
        <v/>
      </c>
    </row>
    <row r="470" customFormat="false" ht="15" hidden="false" customHeight="false" outlineLevel="0" collapsed="false">
      <c r="A470" s="19"/>
      <c r="B470" s="7"/>
      <c r="C470" s="7"/>
      <c r="D470" s="7"/>
      <c r="E470" s="17"/>
      <c r="F470" s="7"/>
      <c r="G470" s="7"/>
      <c r="H470" s="21" t="str">
        <f aca="false">IF(A470="","",MONTH(A470))</f>
        <v/>
      </c>
    </row>
    <row r="471" customFormat="false" ht="15" hidden="false" customHeight="false" outlineLevel="0" collapsed="false">
      <c r="A471" s="19"/>
      <c r="B471" s="7"/>
      <c r="C471" s="7"/>
      <c r="D471" s="7"/>
      <c r="E471" s="17"/>
      <c r="F471" s="7"/>
      <c r="G471" s="7"/>
      <c r="H471" s="21" t="str">
        <f aca="false">IF(A471="","",MONTH(A471))</f>
        <v/>
      </c>
    </row>
    <row r="472" customFormat="false" ht="15" hidden="false" customHeight="false" outlineLevel="0" collapsed="false">
      <c r="A472" s="19"/>
      <c r="B472" s="7"/>
      <c r="C472" s="7"/>
      <c r="D472" s="7"/>
      <c r="E472" s="17"/>
      <c r="F472" s="7"/>
      <c r="G472" s="7"/>
      <c r="H472" s="21" t="str">
        <f aca="false">IF(A472="","",MONTH(A472))</f>
        <v/>
      </c>
    </row>
    <row r="473" customFormat="false" ht="15" hidden="false" customHeight="false" outlineLevel="0" collapsed="false">
      <c r="A473" s="19"/>
      <c r="B473" s="7"/>
      <c r="C473" s="7"/>
      <c r="D473" s="7"/>
      <c r="E473" s="17"/>
      <c r="F473" s="7"/>
      <c r="G473" s="7"/>
      <c r="H473" s="21" t="str">
        <f aca="false">IF(A473="","",MONTH(A473))</f>
        <v/>
      </c>
    </row>
    <row r="474" customFormat="false" ht="15" hidden="false" customHeight="false" outlineLevel="0" collapsed="false">
      <c r="A474" s="19"/>
      <c r="B474" s="7"/>
      <c r="C474" s="7"/>
      <c r="D474" s="7"/>
      <c r="E474" s="17"/>
      <c r="F474" s="7"/>
      <c r="G474" s="7"/>
      <c r="H474" s="21" t="str">
        <f aca="false">IF(A474="","",MONTH(A474))</f>
        <v/>
      </c>
    </row>
    <row r="475" customFormat="false" ht="15" hidden="false" customHeight="false" outlineLevel="0" collapsed="false">
      <c r="A475" s="19"/>
      <c r="B475" s="7"/>
      <c r="C475" s="7"/>
      <c r="D475" s="7"/>
      <c r="E475" s="17"/>
      <c r="F475" s="7"/>
      <c r="G475" s="7"/>
      <c r="H475" s="21" t="str">
        <f aca="false">IF(A475="","",MONTH(A475))</f>
        <v/>
      </c>
    </row>
    <row r="476" customFormat="false" ht="15" hidden="false" customHeight="false" outlineLevel="0" collapsed="false">
      <c r="A476" s="19"/>
      <c r="B476" s="7"/>
      <c r="C476" s="7"/>
      <c r="D476" s="7"/>
      <c r="E476" s="17"/>
      <c r="F476" s="7"/>
      <c r="G476" s="7"/>
      <c r="H476" s="21" t="str">
        <f aca="false">IF(A476="","",MONTH(A476))</f>
        <v/>
      </c>
    </row>
    <row r="477" customFormat="false" ht="15" hidden="false" customHeight="false" outlineLevel="0" collapsed="false">
      <c r="A477" s="19"/>
      <c r="B477" s="7"/>
      <c r="C477" s="7"/>
      <c r="D477" s="7"/>
      <c r="E477" s="17"/>
      <c r="F477" s="7"/>
      <c r="G477" s="7"/>
      <c r="H477" s="21" t="str">
        <f aca="false">IF(A477="","",MONTH(A477))</f>
        <v/>
      </c>
    </row>
    <row r="478" customFormat="false" ht="15" hidden="false" customHeight="false" outlineLevel="0" collapsed="false">
      <c r="A478" s="19"/>
      <c r="B478" s="7"/>
      <c r="C478" s="7"/>
      <c r="D478" s="7"/>
      <c r="E478" s="17"/>
      <c r="F478" s="7"/>
      <c r="G478" s="7"/>
      <c r="H478" s="21" t="str">
        <f aca="false">IF(A478="","",MONTH(A478))</f>
        <v/>
      </c>
    </row>
    <row r="479" customFormat="false" ht="15" hidden="false" customHeight="false" outlineLevel="0" collapsed="false">
      <c r="A479" s="19"/>
      <c r="B479" s="7"/>
      <c r="C479" s="7"/>
      <c r="D479" s="7"/>
      <c r="E479" s="17"/>
      <c r="F479" s="7"/>
      <c r="G479" s="7"/>
      <c r="H479" s="21" t="str">
        <f aca="false">IF(A479="","",MONTH(A479))</f>
        <v/>
      </c>
    </row>
    <row r="480" customFormat="false" ht="15" hidden="false" customHeight="false" outlineLevel="0" collapsed="false">
      <c r="A480" s="19"/>
      <c r="B480" s="7"/>
      <c r="C480" s="7"/>
      <c r="D480" s="7"/>
      <c r="E480" s="17"/>
      <c r="F480" s="7"/>
      <c r="G480" s="7"/>
      <c r="H480" s="21" t="str">
        <f aca="false">IF(A480="","",MONTH(A480))</f>
        <v/>
      </c>
    </row>
    <row r="481" customFormat="false" ht="15" hidden="false" customHeight="false" outlineLevel="0" collapsed="false">
      <c r="A481" s="19"/>
      <c r="B481" s="7"/>
      <c r="C481" s="7"/>
      <c r="D481" s="7"/>
      <c r="E481" s="17"/>
      <c r="F481" s="7"/>
      <c r="G481" s="7"/>
      <c r="H481" s="21" t="str">
        <f aca="false">IF(A481="","",MONTH(A481))</f>
        <v/>
      </c>
    </row>
    <row r="482" customFormat="false" ht="15" hidden="false" customHeight="false" outlineLevel="0" collapsed="false">
      <c r="A482" s="19"/>
      <c r="B482" s="7"/>
      <c r="C482" s="7"/>
      <c r="D482" s="7"/>
      <c r="E482" s="17"/>
      <c r="F482" s="7"/>
      <c r="G482" s="7"/>
      <c r="H482" s="21" t="str">
        <f aca="false">IF(A482="","",MONTH(A482))</f>
        <v/>
      </c>
    </row>
    <row r="483" customFormat="false" ht="15" hidden="false" customHeight="false" outlineLevel="0" collapsed="false">
      <c r="A483" s="19"/>
      <c r="B483" s="7"/>
      <c r="C483" s="7"/>
      <c r="D483" s="7"/>
      <c r="E483" s="17"/>
      <c r="F483" s="7"/>
      <c r="G483" s="7"/>
      <c r="H483" s="21" t="str">
        <f aca="false">IF(A483="","",MONTH(A483))</f>
        <v/>
      </c>
    </row>
    <row r="484" customFormat="false" ht="15" hidden="false" customHeight="false" outlineLevel="0" collapsed="false">
      <c r="A484" s="19"/>
      <c r="B484" s="7"/>
      <c r="C484" s="7"/>
      <c r="D484" s="7"/>
      <c r="E484" s="17"/>
      <c r="F484" s="7"/>
      <c r="G484" s="7"/>
      <c r="H484" s="21" t="str">
        <f aca="false">IF(A484="","",MONTH(A484))</f>
        <v/>
      </c>
    </row>
    <row r="485" customFormat="false" ht="15" hidden="false" customHeight="false" outlineLevel="0" collapsed="false">
      <c r="A485" s="19"/>
      <c r="B485" s="7"/>
      <c r="C485" s="7"/>
      <c r="D485" s="7"/>
      <c r="E485" s="17"/>
      <c r="F485" s="7"/>
      <c r="G485" s="7"/>
      <c r="H485" s="21" t="str">
        <f aca="false">IF(A485="","",MONTH(A485))</f>
        <v/>
      </c>
    </row>
    <row r="486" customFormat="false" ht="15" hidden="false" customHeight="false" outlineLevel="0" collapsed="false">
      <c r="A486" s="19"/>
      <c r="B486" s="7"/>
      <c r="C486" s="7"/>
      <c r="D486" s="7"/>
      <c r="E486" s="17"/>
      <c r="F486" s="7"/>
      <c r="G486" s="7"/>
      <c r="H486" s="21" t="str">
        <f aca="false">IF(A486="","",MONTH(A486))</f>
        <v/>
      </c>
    </row>
    <row r="487" customFormat="false" ht="15" hidden="false" customHeight="false" outlineLevel="0" collapsed="false">
      <c r="A487" s="19"/>
      <c r="B487" s="7"/>
      <c r="C487" s="7"/>
      <c r="D487" s="7"/>
      <c r="E487" s="17"/>
      <c r="F487" s="7"/>
      <c r="G487" s="7"/>
      <c r="H487" s="21" t="str">
        <f aca="false">IF(A487="","",MONTH(A487))</f>
        <v/>
      </c>
    </row>
    <row r="488" customFormat="false" ht="15" hidden="false" customHeight="false" outlineLevel="0" collapsed="false">
      <c r="A488" s="19"/>
      <c r="B488" s="7"/>
      <c r="C488" s="7"/>
      <c r="D488" s="7"/>
      <c r="E488" s="17"/>
      <c r="F488" s="7"/>
      <c r="G488" s="7"/>
      <c r="H488" s="21" t="str">
        <f aca="false">IF(A488="","",MONTH(A488))</f>
        <v/>
      </c>
    </row>
    <row r="489" customFormat="false" ht="15" hidden="false" customHeight="false" outlineLevel="0" collapsed="false">
      <c r="A489" s="19"/>
      <c r="B489" s="7"/>
      <c r="C489" s="7"/>
      <c r="D489" s="7"/>
      <c r="E489" s="17"/>
      <c r="F489" s="7"/>
      <c r="G489" s="7"/>
      <c r="H489" s="21" t="str">
        <f aca="false">IF(A489="","",MONTH(A489))</f>
        <v/>
      </c>
    </row>
    <row r="490" customFormat="false" ht="15" hidden="false" customHeight="false" outlineLevel="0" collapsed="false">
      <c r="A490" s="19"/>
      <c r="B490" s="7"/>
      <c r="C490" s="7"/>
      <c r="D490" s="7"/>
      <c r="E490" s="17"/>
      <c r="F490" s="7"/>
      <c r="G490" s="7"/>
      <c r="H490" s="21" t="str">
        <f aca="false">IF(A490="","",MONTH(A490))</f>
        <v/>
      </c>
    </row>
    <row r="491" customFormat="false" ht="15" hidden="false" customHeight="false" outlineLevel="0" collapsed="false">
      <c r="A491" s="19"/>
      <c r="B491" s="7"/>
      <c r="C491" s="7"/>
      <c r="D491" s="7"/>
      <c r="E491" s="17"/>
      <c r="F491" s="7"/>
      <c r="G491" s="7"/>
      <c r="H491" s="21" t="str">
        <f aca="false">IF(A491="","",MONTH(A491))</f>
        <v/>
      </c>
    </row>
    <row r="492" customFormat="false" ht="15" hidden="false" customHeight="false" outlineLevel="0" collapsed="false">
      <c r="A492" s="19"/>
      <c r="B492" s="7"/>
      <c r="C492" s="7"/>
      <c r="D492" s="7"/>
      <c r="E492" s="17"/>
      <c r="F492" s="7"/>
      <c r="G492" s="7"/>
      <c r="H492" s="21" t="str">
        <f aca="false">IF(A492="","",MONTH(A492))</f>
        <v/>
      </c>
    </row>
    <row r="493" customFormat="false" ht="15" hidden="false" customHeight="false" outlineLevel="0" collapsed="false">
      <c r="A493" s="19"/>
      <c r="B493" s="7"/>
      <c r="C493" s="7"/>
      <c r="D493" s="7"/>
      <c r="E493" s="17"/>
      <c r="F493" s="7"/>
      <c r="G493" s="7"/>
      <c r="H493" s="21" t="str">
        <f aca="false">IF(A493="","",MONTH(A493))</f>
        <v/>
      </c>
    </row>
    <row r="494" customFormat="false" ht="15" hidden="false" customHeight="false" outlineLevel="0" collapsed="false">
      <c r="A494" s="19"/>
      <c r="B494" s="7"/>
      <c r="C494" s="7"/>
      <c r="D494" s="7"/>
      <c r="E494" s="17"/>
      <c r="F494" s="7"/>
      <c r="G494" s="7"/>
      <c r="H494" s="21" t="str">
        <f aca="false">IF(A494="","",MONTH(A494))</f>
        <v/>
      </c>
    </row>
    <row r="495" customFormat="false" ht="15" hidden="false" customHeight="false" outlineLevel="0" collapsed="false">
      <c r="A495" s="19"/>
      <c r="B495" s="7"/>
      <c r="C495" s="7"/>
      <c r="D495" s="7"/>
      <c r="E495" s="17"/>
      <c r="F495" s="7"/>
      <c r="G495" s="7"/>
      <c r="H495" s="21" t="str">
        <f aca="false">IF(A495="","",MONTH(A495))</f>
        <v/>
      </c>
    </row>
    <row r="496" customFormat="false" ht="15" hidden="false" customHeight="false" outlineLevel="0" collapsed="false">
      <c r="A496" s="19"/>
      <c r="B496" s="7"/>
      <c r="C496" s="7"/>
      <c r="D496" s="7"/>
      <c r="E496" s="17"/>
      <c r="F496" s="7"/>
      <c r="G496" s="7"/>
      <c r="H496" s="21" t="str">
        <f aca="false">IF(A496="","",MONTH(A496))</f>
        <v/>
      </c>
    </row>
    <row r="497" customFormat="false" ht="15" hidden="false" customHeight="false" outlineLevel="0" collapsed="false">
      <c r="A497" s="19"/>
      <c r="B497" s="7"/>
      <c r="C497" s="7"/>
      <c r="D497" s="7"/>
      <c r="E497" s="17"/>
      <c r="F497" s="7"/>
      <c r="G497" s="7"/>
      <c r="H497" s="21" t="str">
        <f aca="false">IF(A497="","",MONTH(A497))</f>
        <v/>
      </c>
    </row>
    <row r="498" customFormat="false" ht="15" hidden="false" customHeight="false" outlineLevel="0" collapsed="false">
      <c r="A498" s="19"/>
      <c r="B498" s="7"/>
      <c r="C498" s="7"/>
      <c r="D498" s="7"/>
      <c r="E498" s="17"/>
      <c r="F498" s="7"/>
      <c r="G498" s="7"/>
      <c r="H498" s="21" t="str">
        <f aca="false">IF(A498="","",MONTH(A498))</f>
        <v/>
      </c>
    </row>
    <row r="499" customFormat="false" ht="15" hidden="false" customHeight="false" outlineLevel="0" collapsed="false">
      <c r="A499" s="19"/>
      <c r="B499" s="7"/>
      <c r="C499" s="7"/>
      <c r="D499" s="7"/>
      <c r="E499" s="17"/>
      <c r="F499" s="7"/>
      <c r="G499" s="7"/>
      <c r="H499" s="21" t="str">
        <f aca="false">IF(A499="","",MONTH(A499))</f>
        <v/>
      </c>
    </row>
    <row r="500" customFormat="false" ht="15" hidden="false" customHeight="false" outlineLevel="0" collapsed="false">
      <c r="A500" s="19"/>
      <c r="B500" s="7"/>
      <c r="C500" s="7"/>
      <c r="D500" s="7"/>
      <c r="E500" s="17"/>
      <c r="F500" s="7"/>
      <c r="G500" s="7"/>
      <c r="H500" s="21" t="str">
        <f aca="false">IF(A500="","",MONTH(A500))</f>
        <v/>
      </c>
    </row>
    <row r="501" customFormat="false" ht="15" hidden="false" customHeight="false" outlineLevel="0" collapsed="false">
      <c r="A501" s="19"/>
      <c r="B501" s="7"/>
      <c r="C501" s="7"/>
      <c r="D501" s="7"/>
      <c r="E501" s="17"/>
      <c r="F501" s="7"/>
      <c r="G501" s="7"/>
      <c r="H501" s="21" t="str">
        <f aca="false">IF(A501="","",MONTH(A501))</f>
        <v/>
      </c>
    </row>
    <row r="502" customFormat="false" ht="15" hidden="false" customHeight="false" outlineLevel="0" collapsed="false">
      <c r="A502" s="19"/>
      <c r="B502" s="7"/>
      <c r="C502" s="7"/>
      <c r="D502" s="7"/>
      <c r="E502" s="17"/>
      <c r="F502" s="7"/>
      <c r="G502" s="7"/>
      <c r="H502" s="21" t="str">
        <f aca="false">IF(A502="","",MONTH(A502))</f>
        <v/>
      </c>
    </row>
    <row r="503" customFormat="false" ht="15" hidden="false" customHeight="false" outlineLevel="0" collapsed="false">
      <c r="A503" s="19"/>
      <c r="B503" s="7"/>
      <c r="C503" s="7"/>
      <c r="D503" s="7"/>
      <c r="E503" s="17"/>
      <c r="F503" s="7"/>
      <c r="G503" s="7"/>
      <c r="H503" s="21" t="str">
        <f aca="false">IF(A503="","",MONTH(A503))</f>
        <v/>
      </c>
    </row>
    <row r="504" customFormat="false" ht="15" hidden="false" customHeight="false" outlineLevel="0" collapsed="false">
      <c r="A504" s="19"/>
      <c r="B504" s="7"/>
      <c r="C504" s="7"/>
      <c r="D504" s="7"/>
      <c r="E504" s="17"/>
      <c r="F504" s="7"/>
      <c r="G504" s="7"/>
      <c r="H504" s="21" t="str">
        <f aca="false">IF(A504="","",MONTH(A504))</f>
        <v/>
      </c>
    </row>
    <row r="505" customFormat="false" ht="15" hidden="false" customHeight="false" outlineLevel="0" collapsed="false">
      <c r="A505" s="19"/>
      <c r="B505" s="7"/>
      <c r="C505" s="7"/>
      <c r="D505" s="7"/>
      <c r="E505" s="17"/>
      <c r="F505" s="7"/>
      <c r="G505" s="7"/>
      <c r="H505" s="21" t="str">
        <f aca="false">IF(A505="","",MONTH(A505))</f>
        <v/>
      </c>
    </row>
    <row r="506" customFormat="false" ht="15" hidden="false" customHeight="false" outlineLevel="0" collapsed="false">
      <c r="A506" s="19"/>
      <c r="B506" s="7"/>
      <c r="C506" s="7"/>
      <c r="D506" s="7"/>
      <c r="E506" s="17"/>
      <c r="F506" s="7"/>
      <c r="G506" s="7"/>
      <c r="H506" s="21" t="str">
        <f aca="false">IF(A506="","",MONTH(A506))</f>
        <v/>
      </c>
    </row>
    <row r="507" customFormat="false" ht="15" hidden="false" customHeight="false" outlineLevel="0" collapsed="false">
      <c r="A507" s="19"/>
      <c r="B507" s="7"/>
      <c r="C507" s="7"/>
      <c r="D507" s="7"/>
      <c r="E507" s="17"/>
      <c r="F507" s="7"/>
      <c r="G507" s="7"/>
      <c r="H507" s="21" t="str">
        <f aca="false">IF(A507="","",MONTH(A507))</f>
        <v/>
      </c>
    </row>
    <row r="508" customFormat="false" ht="15" hidden="false" customHeight="false" outlineLevel="0" collapsed="false">
      <c r="A508" s="19"/>
      <c r="B508" s="7"/>
      <c r="C508" s="7"/>
      <c r="D508" s="7"/>
      <c r="E508" s="17"/>
      <c r="F508" s="7"/>
      <c r="G508" s="7"/>
      <c r="H508" s="21" t="str">
        <f aca="false">IF(A508="","",MONTH(A508))</f>
        <v/>
      </c>
    </row>
    <row r="509" customFormat="false" ht="15" hidden="false" customHeight="false" outlineLevel="0" collapsed="false">
      <c r="A509" s="19"/>
      <c r="B509" s="7"/>
      <c r="C509" s="7"/>
      <c r="D509" s="7"/>
      <c r="E509" s="17"/>
      <c r="F509" s="7"/>
      <c r="G509" s="7"/>
      <c r="H509" s="21" t="str">
        <f aca="false">IF(A509="","",MONTH(A509))</f>
        <v/>
      </c>
    </row>
    <row r="510" customFormat="false" ht="15" hidden="false" customHeight="false" outlineLevel="0" collapsed="false">
      <c r="A510" s="19"/>
      <c r="B510" s="7"/>
      <c r="C510" s="7"/>
      <c r="D510" s="7"/>
      <c r="E510" s="17"/>
      <c r="F510" s="7"/>
      <c r="G510" s="7"/>
      <c r="H510" s="21" t="str">
        <f aca="false">IF(A510="","",MONTH(A510))</f>
        <v/>
      </c>
    </row>
    <row r="511" customFormat="false" ht="15" hidden="false" customHeight="false" outlineLevel="0" collapsed="false">
      <c r="A511" s="19"/>
      <c r="B511" s="7"/>
      <c r="C511" s="7"/>
      <c r="D511" s="7"/>
      <c r="E511" s="17"/>
      <c r="F511" s="7"/>
      <c r="G511" s="7"/>
      <c r="H511" s="21" t="str">
        <f aca="false">IF(A511="","",MONTH(A511))</f>
        <v/>
      </c>
    </row>
    <row r="512" customFormat="false" ht="15" hidden="false" customHeight="false" outlineLevel="0" collapsed="false">
      <c r="A512" s="19"/>
      <c r="B512" s="7"/>
      <c r="C512" s="7"/>
      <c r="D512" s="7"/>
      <c r="E512" s="17"/>
      <c r="F512" s="7"/>
      <c r="G512" s="7"/>
      <c r="H512" s="21" t="str">
        <f aca="false">IF(A512="","",MONTH(A512))</f>
        <v/>
      </c>
    </row>
    <row r="513" customFormat="false" ht="15" hidden="false" customHeight="false" outlineLevel="0" collapsed="false">
      <c r="A513" s="19"/>
      <c r="B513" s="7"/>
      <c r="C513" s="7"/>
      <c r="D513" s="7"/>
      <c r="E513" s="17"/>
      <c r="F513" s="7"/>
      <c r="G513" s="7"/>
      <c r="H513" s="21" t="str">
        <f aca="false">IF(A513="","",MONTH(A513))</f>
        <v/>
      </c>
    </row>
    <row r="514" customFormat="false" ht="15" hidden="false" customHeight="false" outlineLevel="0" collapsed="false">
      <c r="A514" s="19"/>
      <c r="B514" s="7"/>
      <c r="C514" s="7"/>
      <c r="D514" s="7"/>
      <c r="E514" s="17"/>
      <c r="F514" s="7"/>
      <c r="G514" s="7"/>
      <c r="H514" s="21" t="str">
        <f aca="false">IF(A514="","",MONTH(A514))</f>
        <v/>
      </c>
    </row>
    <row r="515" customFormat="false" ht="15" hidden="false" customHeight="false" outlineLevel="0" collapsed="false">
      <c r="A515" s="19"/>
      <c r="B515" s="7"/>
      <c r="C515" s="7"/>
      <c r="D515" s="7"/>
      <c r="E515" s="17"/>
      <c r="F515" s="7"/>
      <c r="G515" s="7"/>
      <c r="H515" s="21" t="str">
        <f aca="false">IF(A515="","",MONTH(A515))</f>
        <v/>
      </c>
    </row>
    <row r="516" customFormat="false" ht="15" hidden="false" customHeight="false" outlineLevel="0" collapsed="false">
      <c r="A516" s="19"/>
      <c r="B516" s="7"/>
      <c r="C516" s="7"/>
      <c r="D516" s="7"/>
      <c r="E516" s="17"/>
      <c r="F516" s="7"/>
      <c r="G516" s="7"/>
      <c r="H516" s="21" t="str">
        <f aca="false">IF(A516="","",MONTH(A516))</f>
        <v/>
      </c>
    </row>
    <row r="517" customFormat="false" ht="15" hidden="false" customHeight="false" outlineLevel="0" collapsed="false">
      <c r="A517" s="19"/>
      <c r="B517" s="7"/>
      <c r="C517" s="7"/>
      <c r="D517" s="7"/>
      <c r="E517" s="17"/>
      <c r="F517" s="7"/>
      <c r="G517" s="7"/>
      <c r="H517" s="21" t="str">
        <f aca="false">IF(A517="","",MONTH(A517))</f>
        <v/>
      </c>
    </row>
    <row r="518" customFormat="false" ht="15" hidden="false" customHeight="false" outlineLevel="0" collapsed="false">
      <c r="A518" s="19"/>
      <c r="B518" s="7"/>
      <c r="C518" s="7"/>
      <c r="D518" s="7"/>
      <c r="E518" s="17"/>
      <c r="F518" s="7"/>
      <c r="G518" s="7"/>
      <c r="H518" s="21" t="str">
        <f aca="false">IF(A518="","",MONTH(A518))</f>
        <v/>
      </c>
    </row>
    <row r="519" customFormat="false" ht="15" hidden="false" customHeight="false" outlineLevel="0" collapsed="false">
      <c r="A519" s="19"/>
      <c r="B519" s="7"/>
      <c r="C519" s="7"/>
      <c r="D519" s="7"/>
      <c r="E519" s="17"/>
      <c r="F519" s="7"/>
      <c r="G519" s="7"/>
      <c r="H519" s="21" t="str">
        <f aca="false">IF(A519="","",MONTH(A519))</f>
        <v/>
      </c>
    </row>
    <row r="520" customFormat="false" ht="15" hidden="false" customHeight="false" outlineLevel="0" collapsed="false">
      <c r="A520" s="19"/>
      <c r="B520" s="7"/>
      <c r="C520" s="7"/>
      <c r="D520" s="7"/>
      <c r="E520" s="17"/>
      <c r="F520" s="7"/>
      <c r="G520" s="7"/>
      <c r="H520" s="21" t="str">
        <f aca="false">IF(A520="","",MONTH(A520))</f>
        <v/>
      </c>
    </row>
    <row r="521" customFormat="false" ht="15" hidden="false" customHeight="false" outlineLevel="0" collapsed="false">
      <c r="A521" s="19"/>
      <c r="B521" s="7"/>
      <c r="C521" s="7"/>
      <c r="D521" s="7"/>
      <c r="E521" s="17"/>
      <c r="F521" s="7"/>
      <c r="G521" s="7"/>
      <c r="H521" s="21" t="str">
        <f aca="false">IF(A521="","",MONTH(A521))</f>
        <v/>
      </c>
    </row>
    <row r="522" customFormat="false" ht="15" hidden="false" customHeight="false" outlineLevel="0" collapsed="false">
      <c r="A522" s="19"/>
      <c r="B522" s="7"/>
      <c r="C522" s="7"/>
      <c r="D522" s="7"/>
      <c r="E522" s="17"/>
      <c r="F522" s="7"/>
      <c r="G522" s="7"/>
      <c r="H522" s="21" t="str">
        <f aca="false">IF(A522="","",MONTH(A522))</f>
        <v/>
      </c>
    </row>
    <row r="523" customFormat="false" ht="15" hidden="false" customHeight="false" outlineLevel="0" collapsed="false">
      <c r="A523" s="19"/>
      <c r="B523" s="7"/>
      <c r="C523" s="7"/>
      <c r="D523" s="7"/>
      <c r="E523" s="17"/>
      <c r="F523" s="7"/>
      <c r="G523" s="7"/>
      <c r="H523" s="21" t="str">
        <f aca="false">IF(A523="","",MONTH(A523))</f>
        <v/>
      </c>
    </row>
    <row r="524" customFormat="false" ht="15" hidden="false" customHeight="false" outlineLevel="0" collapsed="false">
      <c r="A524" s="19"/>
      <c r="B524" s="7"/>
      <c r="C524" s="7"/>
      <c r="D524" s="7"/>
      <c r="E524" s="17"/>
      <c r="F524" s="7"/>
      <c r="G524" s="7"/>
      <c r="H524" s="21" t="str">
        <f aca="false">IF(A524="","",MONTH(A524))</f>
        <v/>
      </c>
    </row>
    <row r="525" customFormat="false" ht="15" hidden="false" customHeight="false" outlineLevel="0" collapsed="false">
      <c r="A525" s="19"/>
      <c r="B525" s="7"/>
      <c r="C525" s="7"/>
      <c r="D525" s="7"/>
      <c r="E525" s="17"/>
      <c r="F525" s="7"/>
      <c r="G525" s="7"/>
      <c r="H525" s="21" t="str">
        <f aca="false">IF(A525="","",MONTH(A525))</f>
        <v/>
      </c>
    </row>
    <row r="526" customFormat="false" ht="15" hidden="false" customHeight="false" outlineLevel="0" collapsed="false">
      <c r="A526" s="19"/>
      <c r="B526" s="7"/>
      <c r="C526" s="7"/>
      <c r="D526" s="7"/>
      <c r="E526" s="17"/>
      <c r="F526" s="7"/>
      <c r="G526" s="7"/>
      <c r="H526" s="21" t="str">
        <f aca="false">IF(A526="","",MONTH(A526))</f>
        <v/>
      </c>
    </row>
    <row r="527" customFormat="false" ht="15" hidden="false" customHeight="false" outlineLevel="0" collapsed="false">
      <c r="A527" s="19"/>
      <c r="B527" s="7"/>
      <c r="C527" s="7"/>
      <c r="D527" s="7"/>
      <c r="E527" s="17"/>
      <c r="F527" s="7"/>
      <c r="G527" s="7"/>
      <c r="H527" s="21" t="str">
        <f aca="false">IF(A527="","",MONTH(A527))</f>
        <v/>
      </c>
    </row>
    <row r="528" customFormat="false" ht="15" hidden="false" customHeight="false" outlineLevel="0" collapsed="false">
      <c r="A528" s="19"/>
      <c r="B528" s="7"/>
      <c r="C528" s="7"/>
      <c r="D528" s="7"/>
      <c r="E528" s="17"/>
      <c r="F528" s="7"/>
      <c r="G528" s="7"/>
      <c r="H528" s="21" t="str">
        <f aca="false">IF(A528="","",MONTH(A528))</f>
        <v/>
      </c>
    </row>
    <row r="529" customFormat="false" ht="15" hidden="false" customHeight="false" outlineLevel="0" collapsed="false">
      <c r="A529" s="19"/>
      <c r="B529" s="7"/>
      <c r="C529" s="7"/>
      <c r="D529" s="7"/>
      <c r="E529" s="17"/>
      <c r="F529" s="7"/>
      <c r="G529" s="7"/>
      <c r="H529" s="21" t="str">
        <f aca="false">IF(A529="","",MONTH(A529))</f>
        <v/>
      </c>
    </row>
    <row r="530" customFormat="false" ht="15" hidden="false" customHeight="false" outlineLevel="0" collapsed="false">
      <c r="A530" s="19"/>
      <c r="B530" s="7"/>
      <c r="C530" s="7"/>
      <c r="D530" s="7"/>
      <c r="E530" s="17"/>
      <c r="F530" s="7"/>
      <c r="G530" s="7"/>
      <c r="H530" s="21" t="str">
        <f aca="false">IF(A530="","",MONTH(A530))</f>
        <v/>
      </c>
    </row>
    <row r="531" customFormat="false" ht="15" hidden="false" customHeight="false" outlineLevel="0" collapsed="false">
      <c r="A531" s="19"/>
      <c r="B531" s="7"/>
      <c r="C531" s="7"/>
      <c r="D531" s="7"/>
      <c r="E531" s="17"/>
      <c r="F531" s="7"/>
      <c r="G531" s="7"/>
      <c r="H531" s="21" t="str">
        <f aca="false">IF(A531="","",MONTH(A531))</f>
        <v/>
      </c>
    </row>
    <row r="532" customFormat="false" ht="15" hidden="false" customHeight="false" outlineLevel="0" collapsed="false">
      <c r="A532" s="19"/>
      <c r="B532" s="7"/>
      <c r="C532" s="7"/>
      <c r="D532" s="7"/>
      <c r="E532" s="17"/>
      <c r="F532" s="7"/>
      <c r="G532" s="7"/>
      <c r="H532" s="21" t="str">
        <f aca="false">IF(A532="","",MONTH(A532))</f>
        <v/>
      </c>
    </row>
    <row r="533" customFormat="false" ht="15" hidden="false" customHeight="false" outlineLevel="0" collapsed="false">
      <c r="A533" s="19"/>
      <c r="B533" s="7"/>
      <c r="C533" s="7"/>
      <c r="D533" s="7"/>
      <c r="E533" s="17"/>
      <c r="F533" s="7"/>
      <c r="G533" s="7"/>
      <c r="H533" s="21" t="str">
        <f aca="false">IF(A533="","",MONTH(A533))</f>
        <v/>
      </c>
    </row>
    <row r="534" customFormat="false" ht="15" hidden="false" customHeight="false" outlineLevel="0" collapsed="false">
      <c r="A534" s="19"/>
      <c r="B534" s="7"/>
      <c r="C534" s="7"/>
      <c r="D534" s="7"/>
      <c r="E534" s="17"/>
      <c r="F534" s="7"/>
      <c r="G534" s="7"/>
      <c r="H534" s="21" t="str">
        <f aca="false">IF(A534="","",MONTH(A534))</f>
        <v/>
      </c>
    </row>
    <row r="535" customFormat="false" ht="15" hidden="false" customHeight="false" outlineLevel="0" collapsed="false">
      <c r="A535" s="19"/>
      <c r="B535" s="7"/>
      <c r="C535" s="7"/>
      <c r="D535" s="7"/>
      <c r="E535" s="17"/>
      <c r="F535" s="7"/>
      <c r="G535" s="7"/>
      <c r="H535" s="21" t="str">
        <f aca="false">IF(A535="","",MONTH(A535))</f>
        <v/>
      </c>
    </row>
    <row r="536" customFormat="false" ht="15" hidden="false" customHeight="false" outlineLevel="0" collapsed="false">
      <c r="A536" s="19"/>
      <c r="B536" s="7"/>
      <c r="C536" s="7"/>
      <c r="D536" s="7"/>
      <c r="E536" s="17"/>
      <c r="F536" s="7"/>
      <c r="G536" s="7"/>
      <c r="H536" s="21" t="str">
        <f aca="false">IF(A536="","",MONTH(A536))</f>
        <v/>
      </c>
    </row>
    <row r="537" customFormat="false" ht="15" hidden="false" customHeight="false" outlineLevel="0" collapsed="false">
      <c r="A537" s="19"/>
      <c r="B537" s="7"/>
      <c r="C537" s="7"/>
      <c r="D537" s="7"/>
      <c r="E537" s="17"/>
      <c r="F537" s="7"/>
      <c r="G537" s="7"/>
      <c r="H537" s="21" t="str">
        <f aca="false">IF(A537="","",MONTH(A537))</f>
        <v/>
      </c>
    </row>
    <row r="538" customFormat="false" ht="15" hidden="false" customHeight="false" outlineLevel="0" collapsed="false">
      <c r="A538" s="19"/>
      <c r="B538" s="7"/>
      <c r="C538" s="7"/>
      <c r="D538" s="7"/>
      <c r="E538" s="17"/>
      <c r="F538" s="7"/>
      <c r="G538" s="7"/>
      <c r="H538" s="21" t="str">
        <f aca="false">IF(A538="","",MONTH(A538))</f>
        <v/>
      </c>
    </row>
    <row r="539" customFormat="false" ht="15" hidden="false" customHeight="false" outlineLevel="0" collapsed="false">
      <c r="A539" s="19"/>
      <c r="B539" s="7"/>
      <c r="C539" s="7"/>
      <c r="D539" s="7"/>
      <c r="E539" s="17"/>
      <c r="F539" s="7"/>
      <c r="G539" s="7"/>
      <c r="H539" s="21" t="str">
        <f aca="false">IF(A539="","",MONTH(A539))</f>
        <v/>
      </c>
    </row>
    <row r="540" customFormat="false" ht="15" hidden="false" customHeight="false" outlineLevel="0" collapsed="false">
      <c r="A540" s="19"/>
      <c r="B540" s="7"/>
      <c r="C540" s="7"/>
      <c r="D540" s="7"/>
      <c r="E540" s="17"/>
      <c r="F540" s="7"/>
      <c r="G540" s="7"/>
      <c r="H540" s="21" t="str">
        <f aca="false">IF(A540="","",MONTH(A540))</f>
        <v/>
      </c>
    </row>
    <row r="541" customFormat="false" ht="15" hidden="false" customHeight="false" outlineLevel="0" collapsed="false">
      <c r="A541" s="19"/>
      <c r="B541" s="7"/>
      <c r="C541" s="7"/>
      <c r="D541" s="7"/>
      <c r="E541" s="17"/>
      <c r="F541" s="7"/>
      <c r="G541" s="7"/>
      <c r="H541" s="21" t="str">
        <f aca="false">IF(A541="","",MONTH(A541))</f>
        <v/>
      </c>
    </row>
    <row r="542" customFormat="false" ht="15" hidden="false" customHeight="false" outlineLevel="0" collapsed="false">
      <c r="A542" s="19"/>
      <c r="B542" s="7"/>
      <c r="C542" s="7"/>
      <c r="D542" s="7"/>
      <c r="E542" s="17"/>
      <c r="F542" s="7"/>
      <c r="G542" s="7"/>
      <c r="H542" s="21" t="str">
        <f aca="false">IF(A542="","",MONTH(A542))</f>
        <v/>
      </c>
    </row>
    <row r="543" customFormat="false" ht="15" hidden="false" customHeight="false" outlineLevel="0" collapsed="false">
      <c r="A543" s="19"/>
      <c r="B543" s="7"/>
      <c r="C543" s="7"/>
      <c r="D543" s="7"/>
      <c r="E543" s="17"/>
      <c r="F543" s="7"/>
      <c r="G543" s="7"/>
      <c r="H543" s="21" t="str">
        <f aca="false">IF(A543="","",MONTH(A543))</f>
        <v/>
      </c>
    </row>
    <row r="544" customFormat="false" ht="15" hidden="false" customHeight="false" outlineLevel="0" collapsed="false">
      <c r="A544" s="19"/>
      <c r="B544" s="7"/>
      <c r="C544" s="7"/>
      <c r="D544" s="7"/>
      <c r="E544" s="17"/>
      <c r="F544" s="7"/>
      <c r="G544" s="7"/>
      <c r="H544" s="21" t="str">
        <f aca="false">IF(A544="","",MONTH(A544))</f>
        <v/>
      </c>
    </row>
    <row r="545" customFormat="false" ht="15" hidden="false" customHeight="false" outlineLevel="0" collapsed="false">
      <c r="A545" s="19"/>
      <c r="B545" s="7"/>
      <c r="C545" s="7"/>
      <c r="D545" s="7"/>
      <c r="E545" s="17"/>
      <c r="F545" s="7"/>
      <c r="G545" s="7"/>
      <c r="H545" s="21" t="str">
        <f aca="false">IF(A545="","",MONTH(A545))</f>
        <v/>
      </c>
    </row>
    <row r="546" customFormat="false" ht="15" hidden="false" customHeight="false" outlineLevel="0" collapsed="false">
      <c r="A546" s="19"/>
      <c r="B546" s="7"/>
      <c r="C546" s="7"/>
      <c r="D546" s="7"/>
      <c r="E546" s="17"/>
      <c r="F546" s="7"/>
      <c r="G546" s="7"/>
      <c r="H546" s="21" t="str">
        <f aca="false">IF(A546="","",MONTH(A546))</f>
        <v/>
      </c>
    </row>
    <row r="547" customFormat="false" ht="15" hidden="false" customHeight="false" outlineLevel="0" collapsed="false">
      <c r="A547" s="19"/>
      <c r="B547" s="7"/>
      <c r="C547" s="7"/>
      <c r="D547" s="7"/>
      <c r="E547" s="17"/>
      <c r="F547" s="7"/>
      <c r="G547" s="7"/>
      <c r="H547" s="21" t="str">
        <f aca="false">IF(A547="","",MONTH(A547))</f>
        <v/>
      </c>
    </row>
    <row r="548" customFormat="false" ht="15" hidden="false" customHeight="false" outlineLevel="0" collapsed="false">
      <c r="A548" s="19"/>
      <c r="B548" s="7"/>
      <c r="C548" s="7"/>
      <c r="D548" s="7"/>
      <c r="E548" s="17"/>
      <c r="F548" s="7"/>
      <c r="G548" s="7"/>
      <c r="H548" s="21" t="str">
        <f aca="false">IF(A548="","",MONTH(A548))</f>
        <v/>
      </c>
    </row>
    <row r="549" customFormat="false" ht="15" hidden="false" customHeight="false" outlineLevel="0" collapsed="false">
      <c r="A549" s="19"/>
      <c r="B549" s="7"/>
      <c r="C549" s="7"/>
      <c r="D549" s="7"/>
      <c r="E549" s="17"/>
      <c r="F549" s="7"/>
      <c r="G549" s="7"/>
      <c r="H549" s="21" t="str">
        <f aca="false">IF(A549="","",MONTH(A549))</f>
        <v/>
      </c>
    </row>
    <row r="550" customFormat="false" ht="15" hidden="false" customHeight="false" outlineLevel="0" collapsed="false">
      <c r="A550" s="19"/>
      <c r="B550" s="7"/>
      <c r="C550" s="7"/>
      <c r="D550" s="7"/>
      <c r="E550" s="17"/>
      <c r="F550" s="7"/>
      <c r="G550" s="7"/>
      <c r="H550" s="21" t="str">
        <f aca="false">IF(A550="","",MONTH(A550))</f>
        <v/>
      </c>
    </row>
    <row r="551" customFormat="false" ht="15" hidden="false" customHeight="false" outlineLevel="0" collapsed="false">
      <c r="A551" s="19"/>
      <c r="B551" s="7"/>
      <c r="C551" s="7"/>
      <c r="D551" s="7"/>
      <c r="E551" s="17"/>
      <c r="F551" s="7"/>
      <c r="G551" s="7"/>
      <c r="H551" s="21" t="str">
        <f aca="false">IF(A551="","",MONTH(A551))</f>
        <v/>
      </c>
    </row>
    <row r="552" customFormat="false" ht="15" hidden="false" customHeight="false" outlineLevel="0" collapsed="false">
      <c r="A552" s="19"/>
      <c r="B552" s="7"/>
      <c r="C552" s="7"/>
      <c r="D552" s="7"/>
      <c r="E552" s="17"/>
      <c r="F552" s="7"/>
      <c r="G552" s="7"/>
      <c r="H552" s="21" t="str">
        <f aca="false">IF(A552="","",MONTH(A552))</f>
        <v/>
      </c>
    </row>
    <row r="553" customFormat="false" ht="15" hidden="false" customHeight="false" outlineLevel="0" collapsed="false">
      <c r="A553" s="19"/>
      <c r="B553" s="7"/>
      <c r="C553" s="7"/>
      <c r="D553" s="7"/>
      <c r="E553" s="17"/>
      <c r="F553" s="7"/>
      <c r="G553" s="7"/>
      <c r="H553" s="21" t="str">
        <f aca="false">IF(A553="","",MONTH(A553))</f>
        <v/>
      </c>
    </row>
    <row r="554" customFormat="false" ht="15" hidden="false" customHeight="false" outlineLevel="0" collapsed="false">
      <c r="A554" s="19"/>
      <c r="B554" s="7"/>
      <c r="C554" s="7"/>
      <c r="D554" s="7"/>
      <c r="E554" s="17"/>
      <c r="F554" s="7"/>
      <c r="G554" s="7"/>
      <c r="H554" s="21" t="str">
        <f aca="false">IF(A554="","",MONTH(A554))</f>
        <v/>
      </c>
    </row>
    <row r="555" customFormat="false" ht="15" hidden="false" customHeight="false" outlineLevel="0" collapsed="false">
      <c r="A555" s="19"/>
      <c r="B555" s="7"/>
      <c r="C555" s="7"/>
      <c r="D555" s="7"/>
      <c r="E555" s="17"/>
      <c r="F555" s="7"/>
      <c r="G555" s="7"/>
      <c r="H555" s="21" t="str">
        <f aca="false">IF(A555="","",MONTH(A555))</f>
        <v/>
      </c>
    </row>
    <row r="556" customFormat="false" ht="15" hidden="false" customHeight="false" outlineLevel="0" collapsed="false">
      <c r="A556" s="19"/>
      <c r="B556" s="7"/>
      <c r="C556" s="7"/>
      <c r="D556" s="7"/>
      <c r="E556" s="17"/>
      <c r="F556" s="7"/>
      <c r="G556" s="7"/>
      <c r="H556" s="21" t="str">
        <f aca="false">IF(A556="","",MONTH(A556))</f>
        <v/>
      </c>
    </row>
    <row r="557" customFormat="false" ht="15" hidden="false" customHeight="false" outlineLevel="0" collapsed="false">
      <c r="A557" s="19"/>
      <c r="B557" s="7"/>
      <c r="C557" s="7"/>
      <c r="D557" s="7"/>
      <c r="E557" s="17"/>
      <c r="F557" s="7"/>
      <c r="G557" s="7"/>
      <c r="H557" s="21" t="str">
        <f aca="false">IF(A557="","",MONTH(A557))</f>
        <v/>
      </c>
    </row>
    <row r="558" customFormat="false" ht="15" hidden="false" customHeight="false" outlineLevel="0" collapsed="false">
      <c r="A558" s="19"/>
      <c r="B558" s="7"/>
      <c r="C558" s="7"/>
      <c r="D558" s="7"/>
      <c r="E558" s="17"/>
      <c r="F558" s="7"/>
      <c r="G558" s="7"/>
      <c r="H558" s="21" t="str">
        <f aca="false">IF(A558="","",MONTH(A558))</f>
        <v/>
      </c>
    </row>
    <row r="559" customFormat="false" ht="15" hidden="false" customHeight="false" outlineLevel="0" collapsed="false">
      <c r="A559" s="19"/>
      <c r="B559" s="7"/>
      <c r="C559" s="7"/>
      <c r="D559" s="7"/>
      <c r="E559" s="17"/>
      <c r="F559" s="7"/>
      <c r="G559" s="7"/>
      <c r="H559" s="21" t="str">
        <f aca="false">IF(A559="","",MONTH(A559))</f>
        <v/>
      </c>
    </row>
    <row r="560" customFormat="false" ht="15" hidden="false" customHeight="false" outlineLevel="0" collapsed="false">
      <c r="A560" s="19"/>
      <c r="B560" s="7"/>
      <c r="C560" s="7"/>
      <c r="D560" s="7"/>
      <c r="E560" s="17"/>
      <c r="F560" s="7"/>
      <c r="G560" s="7"/>
      <c r="H560" s="21" t="str">
        <f aca="false">IF(A560="","",MONTH(A560))</f>
        <v/>
      </c>
    </row>
    <row r="561" customFormat="false" ht="15" hidden="false" customHeight="false" outlineLevel="0" collapsed="false">
      <c r="A561" s="19"/>
      <c r="B561" s="7"/>
      <c r="C561" s="7"/>
      <c r="D561" s="7"/>
      <c r="E561" s="17"/>
      <c r="F561" s="7"/>
      <c r="G561" s="7"/>
      <c r="H561" s="21" t="str">
        <f aca="false">IF(A561="","",MONTH(A561))</f>
        <v/>
      </c>
    </row>
    <row r="562" customFormat="false" ht="15" hidden="false" customHeight="false" outlineLevel="0" collapsed="false">
      <c r="A562" s="19"/>
      <c r="B562" s="7"/>
      <c r="C562" s="7"/>
      <c r="D562" s="7"/>
      <c r="E562" s="17"/>
      <c r="F562" s="7"/>
      <c r="G562" s="7"/>
      <c r="H562" s="21" t="str">
        <f aca="false">IF(A562="","",MONTH(A562))</f>
        <v/>
      </c>
    </row>
    <row r="563" customFormat="false" ht="15" hidden="false" customHeight="false" outlineLevel="0" collapsed="false">
      <c r="A563" s="19"/>
      <c r="B563" s="7"/>
      <c r="C563" s="7"/>
      <c r="D563" s="7"/>
      <c r="E563" s="17"/>
      <c r="F563" s="7"/>
      <c r="G563" s="7"/>
      <c r="H563" s="21" t="str">
        <f aca="false">IF(A563="","",MONTH(A563))</f>
        <v/>
      </c>
    </row>
    <row r="564" customFormat="false" ht="15" hidden="false" customHeight="false" outlineLevel="0" collapsed="false">
      <c r="A564" s="19"/>
      <c r="B564" s="7"/>
      <c r="C564" s="7"/>
      <c r="D564" s="7"/>
      <c r="E564" s="17"/>
      <c r="F564" s="7"/>
      <c r="G564" s="7"/>
      <c r="H564" s="21" t="str">
        <f aca="false">IF(A564="","",MONTH(A564))</f>
        <v/>
      </c>
    </row>
    <row r="565" customFormat="false" ht="15" hidden="false" customHeight="false" outlineLevel="0" collapsed="false">
      <c r="A565" s="19"/>
      <c r="B565" s="7"/>
      <c r="C565" s="7"/>
      <c r="D565" s="7"/>
      <c r="E565" s="17"/>
      <c r="F565" s="7"/>
      <c r="G565" s="7"/>
      <c r="H565" s="21" t="str">
        <f aca="false">IF(A565="","",MONTH(A565))</f>
        <v/>
      </c>
    </row>
    <row r="566" customFormat="false" ht="15" hidden="false" customHeight="false" outlineLevel="0" collapsed="false">
      <c r="A566" s="19"/>
      <c r="B566" s="7"/>
      <c r="C566" s="7"/>
      <c r="D566" s="7"/>
      <c r="E566" s="17"/>
      <c r="F566" s="7"/>
      <c r="G566" s="7"/>
      <c r="H566" s="21" t="str">
        <f aca="false">IF(A566="","",MONTH(A566))</f>
        <v/>
      </c>
    </row>
    <row r="567" customFormat="false" ht="15" hidden="false" customHeight="false" outlineLevel="0" collapsed="false">
      <c r="A567" s="19"/>
      <c r="B567" s="7"/>
      <c r="C567" s="7"/>
      <c r="D567" s="7"/>
      <c r="E567" s="17"/>
      <c r="F567" s="7"/>
      <c r="G567" s="7"/>
      <c r="H567" s="21" t="str">
        <f aca="false">IF(A567="","",MONTH(A567))</f>
        <v/>
      </c>
    </row>
    <row r="568" customFormat="false" ht="15" hidden="false" customHeight="false" outlineLevel="0" collapsed="false">
      <c r="A568" s="19"/>
      <c r="B568" s="7"/>
      <c r="C568" s="7"/>
      <c r="D568" s="7"/>
      <c r="E568" s="17"/>
      <c r="F568" s="7"/>
      <c r="G568" s="7"/>
      <c r="H568" s="21" t="str">
        <f aca="false">IF(A568="","",MONTH(A568))</f>
        <v/>
      </c>
    </row>
    <row r="569" customFormat="false" ht="15" hidden="false" customHeight="false" outlineLevel="0" collapsed="false">
      <c r="A569" s="19"/>
      <c r="B569" s="7"/>
      <c r="C569" s="7"/>
      <c r="D569" s="7"/>
      <c r="E569" s="17"/>
      <c r="F569" s="7"/>
      <c r="G569" s="7"/>
      <c r="H569" s="21" t="str">
        <f aca="false">IF(A569="","",MONTH(A569))</f>
        <v/>
      </c>
    </row>
    <row r="570" customFormat="false" ht="15" hidden="false" customHeight="false" outlineLevel="0" collapsed="false">
      <c r="A570" s="19"/>
      <c r="B570" s="7"/>
      <c r="C570" s="7"/>
      <c r="D570" s="7"/>
      <c r="E570" s="17"/>
      <c r="F570" s="7"/>
      <c r="G570" s="7"/>
      <c r="H570" s="21" t="str">
        <f aca="false">IF(A570="","",MONTH(A570))</f>
        <v/>
      </c>
    </row>
    <row r="571" customFormat="false" ht="15" hidden="false" customHeight="false" outlineLevel="0" collapsed="false">
      <c r="A571" s="19"/>
      <c r="B571" s="7"/>
      <c r="C571" s="7"/>
      <c r="D571" s="7"/>
      <c r="E571" s="17"/>
      <c r="F571" s="7"/>
      <c r="G571" s="7"/>
      <c r="H571" s="21" t="str">
        <f aca="false">IF(A571="","",MONTH(A571))</f>
        <v/>
      </c>
    </row>
    <row r="572" customFormat="false" ht="15" hidden="false" customHeight="false" outlineLevel="0" collapsed="false">
      <c r="A572" s="19"/>
      <c r="B572" s="7"/>
      <c r="C572" s="7"/>
      <c r="D572" s="7"/>
      <c r="E572" s="17"/>
      <c r="F572" s="7"/>
      <c r="G572" s="7"/>
      <c r="H572" s="21" t="str">
        <f aca="false">IF(A572="","",MONTH(A572))</f>
        <v/>
      </c>
    </row>
    <row r="573" customFormat="false" ht="15" hidden="false" customHeight="false" outlineLevel="0" collapsed="false">
      <c r="A573" s="19"/>
      <c r="B573" s="7"/>
      <c r="C573" s="7"/>
      <c r="D573" s="7"/>
      <c r="E573" s="17"/>
      <c r="F573" s="7"/>
      <c r="G573" s="7"/>
      <c r="H573" s="21" t="str">
        <f aca="false">IF(A573="","",MONTH(A573))</f>
        <v/>
      </c>
    </row>
    <row r="574" customFormat="false" ht="15" hidden="false" customHeight="false" outlineLevel="0" collapsed="false">
      <c r="A574" s="19"/>
      <c r="B574" s="7"/>
      <c r="C574" s="7"/>
      <c r="D574" s="7"/>
      <c r="E574" s="17"/>
      <c r="F574" s="7"/>
      <c r="G574" s="7"/>
      <c r="H574" s="21" t="str">
        <f aca="false">IF(A574="","",MONTH(A574))</f>
        <v/>
      </c>
    </row>
    <row r="575" customFormat="false" ht="15" hidden="false" customHeight="false" outlineLevel="0" collapsed="false">
      <c r="A575" s="19"/>
      <c r="B575" s="7"/>
      <c r="C575" s="7"/>
      <c r="D575" s="7"/>
      <c r="E575" s="17"/>
      <c r="F575" s="7"/>
      <c r="G575" s="7"/>
      <c r="H575" s="21" t="str">
        <f aca="false">IF(A575="","",MONTH(A575))</f>
        <v/>
      </c>
    </row>
    <row r="576" customFormat="false" ht="15" hidden="false" customHeight="false" outlineLevel="0" collapsed="false">
      <c r="A576" s="19"/>
      <c r="B576" s="7"/>
      <c r="C576" s="7"/>
      <c r="D576" s="7"/>
      <c r="E576" s="17"/>
      <c r="F576" s="7"/>
      <c r="G576" s="7"/>
      <c r="H576" s="21" t="str">
        <f aca="false">IF(A576="","",MONTH(A576))</f>
        <v/>
      </c>
    </row>
    <row r="577" customFormat="false" ht="15" hidden="false" customHeight="false" outlineLevel="0" collapsed="false">
      <c r="A577" s="19"/>
      <c r="B577" s="7"/>
      <c r="C577" s="7"/>
      <c r="D577" s="7"/>
      <c r="E577" s="17"/>
      <c r="F577" s="7"/>
      <c r="G577" s="7"/>
      <c r="H577" s="21" t="str">
        <f aca="false">IF(A577="","",MONTH(A577))</f>
        <v/>
      </c>
    </row>
    <row r="578" customFormat="false" ht="15" hidden="false" customHeight="false" outlineLevel="0" collapsed="false">
      <c r="A578" s="19"/>
      <c r="B578" s="7"/>
      <c r="C578" s="7"/>
      <c r="D578" s="7"/>
      <c r="E578" s="17"/>
      <c r="F578" s="7"/>
      <c r="G578" s="7"/>
      <c r="H578" s="21" t="str">
        <f aca="false">IF(A578="","",MONTH(A578))</f>
        <v/>
      </c>
    </row>
    <row r="579" customFormat="false" ht="15" hidden="false" customHeight="false" outlineLevel="0" collapsed="false">
      <c r="A579" s="19"/>
      <c r="B579" s="7"/>
      <c r="C579" s="7"/>
      <c r="D579" s="7"/>
      <c r="E579" s="17"/>
      <c r="F579" s="7"/>
      <c r="G579" s="7"/>
      <c r="H579" s="21" t="str">
        <f aca="false">IF(A579="","",MONTH(A579))</f>
        <v/>
      </c>
    </row>
    <row r="580" customFormat="false" ht="15" hidden="false" customHeight="false" outlineLevel="0" collapsed="false">
      <c r="A580" s="19"/>
      <c r="B580" s="7"/>
      <c r="C580" s="7"/>
      <c r="D580" s="7"/>
      <c r="E580" s="17"/>
      <c r="F580" s="7"/>
      <c r="G580" s="7"/>
      <c r="H580" s="21" t="str">
        <f aca="false">IF(A580="","",MONTH(A580))</f>
        <v/>
      </c>
    </row>
    <row r="581" customFormat="false" ht="15" hidden="false" customHeight="false" outlineLevel="0" collapsed="false">
      <c r="A581" s="19"/>
      <c r="B581" s="7"/>
      <c r="C581" s="7"/>
      <c r="D581" s="7"/>
      <c r="E581" s="17"/>
      <c r="F581" s="7"/>
      <c r="G581" s="7"/>
      <c r="H581" s="21" t="str">
        <f aca="false">IF(A581="","",MONTH(A581))</f>
        <v/>
      </c>
    </row>
    <row r="582" customFormat="false" ht="15" hidden="false" customHeight="false" outlineLevel="0" collapsed="false">
      <c r="A582" s="19"/>
      <c r="B582" s="7"/>
      <c r="C582" s="7"/>
      <c r="D582" s="7"/>
      <c r="E582" s="17"/>
      <c r="F582" s="7"/>
      <c r="G582" s="7"/>
      <c r="H582" s="21" t="str">
        <f aca="false">IF(A582="","",MONTH(A582))</f>
        <v/>
      </c>
    </row>
    <row r="583" customFormat="false" ht="15" hidden="false" customHeight="false" outlineLevel="0" collapsed="false">
      <c r="A583" s="19"/>
      <c r="B583" s="7"/>
      <c r="C583" s="7"/>
      <c r="D583" s="7"/>
      <c r="E583" s="17"/>
      <c r="F583" s="7"/>
      <c r="G583" s="7"/>
      <c r="H583" s="21" t="str">
        <f aca="false">IF(A583="","",MONTH(A583))</f>
        <v/>
      </c>
    </row>
    <row r="584" customFormat="false" ht="15" hidden="false" customHeight="false" outlineLevel="0" collapsed="false">
      <c r="A584" s="19"/>
      <c r="B584" s="7"/>
      <c r="C584" s="7"/>
      <c r="D584" s="7"/>
      <c r="E584" s="17"/>
      <c r="F584" s="7"/>
      <c r="G584" s="7"/>
      <c r="H584" s="21" t="str">
        <f aca="false">IF(A584="","",MONTH(A584))</f>
        <v/>
      </c>
    </row>
    <row r="585" customFormat="false" ht="15" hidden="false" customHeight="false" outlineLevel="0" collapsed="false">
      <c r="A585" s="19"/>
      <c r="B585" s="7"/>
      <c r="C585" s="7"/>
      <c r="D585" s="7"/>
      <c r="E585" s="17"/>
      <c r="F585" s="7"/>
      <c r="G585" s="7"/>
      <c r="H585" s="21" t="str">
        <f aca="false">IF(A585="","",MONTH(A585))</f>
        <v/>
      </c>
    </row>
    <row r="586" customFormat="false" ht="15" hidden="false" customHeight="false" outlineLevel="0" collapsed="false">
      <c r="A586" s="19"/>
      <c r="B586" s="7"/>
      <c r="C586" s="7"/>
      <c r="D586" s="7"/>
      <c r="E586" s="17"/>
      <c r="F586" s="7"/>
      <c r="G586" s="7"/>
      <c r="H586" s="21" t="str">
        <f aca="false">IF(A586="","",MONTH(A586))</f>
        <v/>
      </c>
    </row>
    <row r="587" customFormat="false" ht="15" hidden="false" customHeight="false" outlineLevel="0" collapsed="false">
      <c r="A587" s="19"/>
      <c r="B587" s="7"/>
      <c r="C587" s="7"/>
      <c r="D587" s="7"/>
      <c r="E587" s="17"/>
      <c r="F587" s="7"/>
      <c r="G587" s="7"/>
      <c r="H587" s="21" t="str">
        <f aca="false">IF(A587="","",MONTH(A587))</f>
        <v/>
      </c>
    </row>
    <row r="588" customFormat="false" ht="15" hidden="false" customHeight="false" outlineLevel="0" collapsed="false">
      <c r="A588" s="19"/>
      <c r="B588" s="7"/>
      <c r="C588" s="7"/>
      <c r="D588" s="7"/>
      <c r="E588" s="17"/>
      <c r="F588" s="7"/>
      <c r="G588" s="7"/>
      <c r="H588" s="21" t="str">
        <f aca="false">IF(A588="","",MONTH(A588))</f>
        <v/>
      </c>
    </row>
    <row r="589" customFormat="false" ht="15" hidden="false" customHeight="false" outlineLevel="0" collapsed="false">
      <c r="A589" s="19"/>
      <c r="B589" s="7"/>
      <c r="C589" s="7"/>
      <c r="D589" s="7"/>
      <c r="E589" s="17"/>
      <c r="F589" s="7"/>
      <c r="G589" s="7"/>
      <c r="H589" s="21" t="str">
        <f aca="false">IF(A589="","",MONTH(A589))</f>
        <v/>
      </c>
    </row>
    <row r="590" customFormat="false" ht="15" hidden="false" customHeight="false" outlineLevel="0" collapsed="false">
      <c r="A590" s="19"/>
      <c r="B590" s="7"/>
      <c r="C590" s="7"/>
      <c r="D590" s="7"/>
      <c r="E590" s="17"/>
      <c r="F590" s="7"/>
      <c r="G590" s="7"/>
      <c r="H590" s="21" t="str">
        <f aca="false">IF(A590="","",MONTH(A590))</f>
        <v/>
      </c>
    </row>
    <row r="591" customFormat="false" ht="15" hidden="false" customHeight="false" outlineLevel="0" collapsed="false">
      <c r="A591" s="19"/>
      <c r="B591" s="7"/>
      <c r="C591" s="7"/>
      <c r="D591" s="7"/>
      <c r="E591" s="17"/>
      <c r="F591" s="7"/>
      <c r="G591" s="7"/>
      <c r="H591" s="21" t="str">
        <f aca="false">IF(A591="","",MONTH(A591))</f>
        <v/>
      </c>
    </row>
    <row r="592" customFormat="false" ht="15" hidden="false" customHeight="false" outlineLevel="0" collapsed="false">
      <c r="A592" s="19"/>
      <c r="B592" s="7"/>
      <c r="C592" s="7"/>
      <c r="D592" s="7"/>
      <c r="E592" s="17"/>
      <c r="F592" s="7"/>
      <c r="G592" s="7"/>
      <c r="H592" s="21" t="str">
        <f aca="false">IF(A592="","",MONTH(A592))</f>
        <v/>
      </c>
    </row>
    <row r="593" customFormat="false" ht="15" hidden="false" customHeight="false" outlineLevel="0" collapsed="false">
      <c r="A593" s="19"/>
      <c r="B593" s="7"/>
      <c r="C593" s="7"/>
      <c r="D593" s="7"/>
      <c r="E593" s="17"/>
      <c r="F593" s="7"/>
      <c r="G593" s="7"/>
      <c r="H593" s="21" t="str">
        <f aca="false">IF(A593="","",MONTH(A593))</f>
        <v/>
      </c>
    </row>
    <row r="594" customFormat="false" ht="15" hidden="false" customHeight="false" outlineLevel="0" collapsed="false">
      <c r="A594" s="19"/>
      <c r="B594" s="7"/>
      <c r="C594" s="7"/>
      <c r="D594" s="7"/>
      <c r="E594" s="17"/>
      <c r="F594" s="7"/>
      <c r="G594" s="7"/>
      <c r="H594" s="21" t="str">
        <f aca="false">IF(A594="","",MONTH(A594))</f>
        <v/>
      </c>
    </row>
    <row r="595" customFormat="false" ht="15" hidden="false" customHeight="false" outlineLevel="0" collapsed="false">
      <c r="A595" s="19"/>
      <c r="B595" s="7"/>
      <c r="C595" s="7"/>
      <c r="D595" s="7"/>
      <c r="E595" s="17"/>
      <c r="F595" s="7"/>
      <c r="G595" s="7"/>
      <c r="H595" s="21" t="str">
        <f aca="false">IF(A595="","",MONTH(A595))</f>
        <v/>
      </c>
    </row>
    <row r="596" customFormat="false" ht="15" hidden="false" customHeight="false" outlineLevel="0" collapsed="false">
      <c r="A596" s="19"/>
      <c r="B596" s="7"/>
      <c r="C596" s="7"/>
      <c r="D596" s="7"/>
      <c r="E596" s="17"/>
      <c r="F596" s="7"/>
      <c r="G596" s="7"/>
      <c r="H596" s="21" t="str">
        <f aca="false">IF(A596="","",MONTH(A596))</f>
        <v/>
      </c>
    </row>
    <row r="597" customFormat="false" ht="15" hidden="false" customHeight="false" outlineLevel="0" collapsed="false">
      <c r="A597" s="19"/>
      <c r="B597" s="7"/>
      <c r="C597" s="7"/>
      <c r="D597" s="7"/>
      <c r="E597" s="17"/>
      <c r="F597" s="7"/>
      <c r="G597" s="7"/>
      <c r="H597" s="21" t="str">
        <f aca="false">IF(A597="","",MONTH(A597))</f>
        <v/>
      </c>
    </row>
    <row r="598" customFormat="false" ht="15" hidden="false" customHeight="false" outlineLevel="0" collapsed="false">
      <c r="A598" s="19"/>
      <c r="B598" s="7"/>
      <c r="C598" s="7"/>
      <c r="D598" s="7"/>
      <c r="E598" s="17"/>
      <c r="F598" s="7"/>
      <c r="G598" s="7"/>
      <c r="H598" s="21" t="str">
        <f aca="false">IF(A598="","",MONTH(A598))</f>
        <v/>
      </c>
    </row>
    <row r="599" customFormat="false" ht="15" hidden="false" customHeight="false" outlineLevel="0" collapsed="false">
      <c r="A599" s="19"/>
      <c r="B599" s="7"/>
      <c r="C599" s="7"/>
      <c r="D599" s="7"/>
      <c r="E599" s="17"/>
      <c r="F599" s="7"/>
      <c r="G599" s="7"/>
      <c r="H599" s="21" t="str">
        <f aca="false">IF(A599="","",MONTH(A599))</f>
        <v/>
      </c>
    </row>
    <row r="600" customFormat="false" ht="15" hidden="false" customHeight="false" outlineLevel="0" collapsed="false">
      <c r="A600" s="19"/>
      <c r="B600" s="7"/>
      <c r="C600" s="7"/>
      <c r="D600" s="7"/>
      <c r="E600" s="17"/>
      <c r="F600" s="7"/>
      <c r="G600" s="7"/>
      <c r="H600" s="21" t="str">
        <f aca="false">IF(A600="","",MONTH(A600))</f>
        <v/>
      </c>
    </row>
    <row r="601" customFormat="false" ht="15" hidden="false" customHeight="false" outlineLevel="0" collapsed="false">
      <c r="A601" s="19"/>
      <c r="B601" s="7"/>
      <c r="C601" s="7"/>
      <c r="D601" s="7"/>
      <c r="E601" s="17"/>
      <c r="F601" s="7"/>
      <c r="G601" s="7"/>
      <c r="H601" s="21" t="str">
        <f aca="false">IF(A601="","",MONTH(A601))</f>
        <v/>
      </c>
    </row>
    <row r="602" customFormat="false" ht="15" hidden="false" customHeight="false" outlineLevel="0" collapsed="false">
      <c r="A602" s="19"/>
      <c r="B602" s="7"/>
      <c r="C602" s="7"/>
      <c r="D602" s="7"/>
      <c r="E602" s="17"/>
      <c r="F602" s="7"/>
      <c r="G602" s="7"/>
      <c r="H602" s="21" t="str">
        <f aca="false">IF(A602="","",MONTH(A602))</f>
        <v/>
      </c>
    </row>
    <row r="603" customFormat="false" ht="15" hidden="false" customHeight="false" outlineLevel="0" collapsed="false">
      <c r="A603" s="19"/>
      <c r="B603" s="7"/>
      <c r="C603" s="7"/>
      <c r="D603" s="7"/>
      <c r="E603" s="17"/>
      <c r="F603" s="7"/>
      <c r="G603" s="7"/>
      <c r="H603" s="21" t="str">
        <f aca="false">IF(A603="","",MONTH(A603))</f>
        <v/>
      </c>
    </row>
    <row r="604" customFormat="false" ht="15" hidden="false" customHeight="false" outlineLevel="0" collapsed="false">
      <c r="A604" s="19"/>
      <c r="B604" s="7"/>
      <c r="C604" s="7"/>
      <c r="D604" s="7"/>
      <c r="E604" s="17"/>
      <c r="F604" s="7"/>
      <c r="G604" s="7"/>
      <c r="H604" s="21" t="str">
        <f aca="false">IF(A604="","",MONTH(A604))</f>
        <v/>
      </c>
    </row>
    <row r="605" customFormat="false" ht="15" hidden="false" customHeight="false" outlineLevel="0" collapsed="false">
      <c r="A605" s="19"/>
      <c r="B605" s="7"/>
      <c r="C605" s="7"/>
      <c r="D605" s="7"/>
      <c r="E605" s="17"/>
      <c r="F605" s="7"/>
      <c r="G605" s="7"/>
      <c r="H605" s="21" t="str">
        <f aca="false">IF(A605="","",MONTH(A605))</f>
        <v/>
      </c>
    </row>
  </sheetData>
  <dataValidations count="3">
    <dataValidation allowBlank="true" errorStyle="stop" operator="between" showDropDown="false" showErrorMessage="false" showInputMessage="false" sqref="D6:D605" type="list">
      <formula1>Settings!$D$12:$D$24</formula1>
      <formula2>0</formula2>
    </dataValidation>
    <dataValidation allowBlank="true" errorStyle="stop" operator="between" showDropDown="false" showErrorMessage="false" showInputMessage="false" sqref="F6:F605" type="list">
      <formula1>Settings!$F$12:$F$16</formula1>
      <formula2>0</formula2>
    </dataValidation>
    <dataValidation allowBlank="true" errorStyle="stop" operator="between" showDropDown="false" showErrorMessage="false" showInputMessage="false" sqref="G6:G60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J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" t="s">
        <v>53</v>
      </c>
    </row>
    <row r="2" customFormat="false" ht="15" hidden="false" customHeight="false" outlineLevel="0" collapsed="false">
      <c r="A2" s="2" t="s">
        <v>87</v>
      </c>
    </row>
    <row r="5" customFormat="false" ht="15" hidden="false" customHeight="false" outlineLevel="0" collapsed="false">
      <c r="A5" s="3" t="s">
        <v>88</v>
      </c>
      <c r="B5" s="3" t="s">
        <v>89</v>
      </c>
      <c r="C5" s="3" t="s">
        <v>90</v>
      </c>
      <c r="D5" s="3" t="s">
        <v>91</v>
      </c>
      <c r="E5" s="3" t="s">
        <v>92</v>
      </c>
      <c r="F5" s="3" t="s">
        <v>93</v>
      </c>
      <c r="G5" s="3" t="s">
        <v>94</v>
      </c>
      <c r="H5" s="3" t="s">
        <v>95</v>
      </c>
      <c r="I5" s="3" t="s">
        <v>96</v>
      </c>
      <c r="J5" s="3" t="s">
        <v>97</v>
      </c>
    </row>
    <row r="6" customFormat="false" ht="15" hidden="false" customHeight="false" outlineLevel="0" collapsed="false">
      <c r="A6" s="7" t="s">
        <v>98</v>
      </c>
      <c r="B6" s="7" t="s">
        <v>99</v>
      </c>
      <c r="C6" s="17" t="n">
        <v>14</v>
      </c>
      <c r="D6" s="17" t="n">
        <v>32</v>
      </c>
      <c r="E6" s="20" t="n">
        <f aca="false">IF(D6="","",D6-C6)</f>
        <v>18</v>
      </c>
      <c r="F6" s="22" t="n">
        <f aca="false">IF(OR(D6="",D6=0),"",(D6-C6)/D6)</f>
        <v>0.5625</v>
      </c>
      <c r="G6" s="7" t="n">
        <v>6</v>
      </c>
      <c r="H6" s="7" t="n">
        <v>3</v>
      </c>
      <c r="I6" s="10" t="str">
        <f aca="false">IF(OR(G6="",H6=""),"",IF(G6&lt;=H6,"Reorder",""))</f>
        <v/>
      </c>
      <c r="J6" s="20" t="n">
        <f aca="false">IF(OR(C6="",G6=""),"",C6*G6)</f>
        <v>84</v>
      </c>
    </row>
    <row r="7" customFormat="false" ht="15" hidden="false" customHeight="false" outlineLevel="0" collapsed="false">
      <c r="A7" s="7"/>
      <c r="B7" s="7"/>
      <c r="C7" s="17"/>
      <c r="D7" s="17"/>
      <c r="E7" s="20" t="str">
        <f aca="false">IF(D7="","",D7-C7)</f>
        <v/>
      </c>
      <c r="F7" s="22" t="str">
        <f aca="false">IF(OR(D7="",D7=0),"",(D7-C7)/D7)</f>
        <v/>
      </c>
      <c r="G7" s="7"/>
      <c r="H7" s="7"/>
      <c r="I7" s="10" t="str">
        <f aca="false">IF(OR(G7="",H7=""),"",IF(G7&lt;=H7,"Reorder",""))</f>
        <v/>
      </c>
      <c r="J7" s="20" t="str">
        <f aca="false">IF(OR(C7="",G7=""),"",C7*G7)</f>
        <v/>
      </c>
    </row>
    <row r="8" customFormat="false" ht="15" hidden="false" customHeight="false" outlineLevel="0" collapsed="false">
      <c r="A8" s="7"/>
      <c r="B8" s="7"/>
      <c r="C8" s="17"/>
      <c r="D8" s="17"/>
      <c r="E8" s="20" t="str">
        <f aca="false">IF(D8="","",D8-C8)</f>
        <v/>
      </c>
      <c r="F8" s="22" t="str">
        <f aca="false">IF(OR(D8="",D8=0),"",(D8-C8)/D8)</f>
        <v/>
      </c>
      <c r="G8" s="7"/>
      <c r="H8" s="7"/>
      <c r="I8" s="10" t="str">
        <f aca="false">IF(OR(G8="",H8=""),"",IF(G8&lt;=H8,"Reorder",""))</f>
        <v/>
      </c>
      <c r="J8" s="20" t="str">
        <f aca="false">IF(OR(C8="",G8=""),"",C8*G8)</f>
        <v/>
      </c>
    </row>
    <row r="9" customFormat="false" ht="15" hidden="false" customHeight="false" outlineLevel="0" collapsed="false">
      <c r="A9" s="7"/>
      <c r="B9" s="7"/>
      <c r="C9" s="17"/>
      <c r="D9" s="17"/>
      <c r="E9" s="20" t="str">
        <f aca="false">IF(D9="","",D9-C9)</f>
        <v/>
      </c>
      <c r="F9" s="22" t="str">
        <f aca="false">IF(OR(D9="",D9=0),"",(D9-C9)/D9)</f>
        <v/>
      </c>
      <c r="G9" s="7"/>
      <c r="H9" s="7"/>
      <c r="I9" s="10" t="str">
        <f aca="false">IF(OR(G9="",H9=""),"",IF(G9&lt;=H9,"Reorder",""))</f>
        <v/>
      </c>
      <c r="J9" s="20" t="str">
        <f aca="false">IF(OR(C9="",G9=""),"",C9*G9)</f>
        <v/>
      </c>
    </row>
    <row r="10" customFormat="false" ht="15" hidden="false" customHeight="false" outlineLevel="0" collapsed="false">
      <c r="A10" s="7"/>
      <c r="B10" s="7"/>
      <c r="C10" s="17"/>
      <c r="D10" s="17"/>
      <c r="E10" s="20" t="str">
        <f aca="false">IF(D10="","",D10-C10)</f>
        <v/>
      </c>
      <c r="F10" s="22" t="str">
        <f aca="false">IF(OR(D10="",D10=0),"",(D10-C10)/D10)</f>
        <v/>
      </c>
      <c r="G10" s="7"/>
      <c r="H10" s="7"/>
      <c r="I10" s="10" t="str">
        <f aca="false">IF(OR(G10="",H10=""),"",IF(G10&lt;=H10,"Reorder",""))</f>
        <v/>
      </c>
      <c r="J10" s="20" t="str">
        <f aca="false">IF(OR(C10="",G10=""),"",C10*G10)</f>
        <v/>
      </c>
    </row>
    <row r="11" customFormat="false" ht="15" hidden="false" customHeight="false" outlineLevel="0" collapsed="false">
      <c r="A11" s="7"/>
      <c r="B11" s="7"/>
      <c r="C11" s="17"/>
      <c r="D11" s="17"/>
      <c r="E11" s="20" t="str">
        <f aca="false">IF(D11="","",D11-C11)</f>
        <v/>
      </c>
      <c r="F11" s="22" t="str">
        <f aca="false">IF(OR(D11="",D11=0),"",(D11-C11)/D11)</f>
        <v/>
      </c>
      <c r="G11" s="7"/>
      <c r="H11" s="7"/>
      <c r="I11" s="10" t="str">
        <f aca="false">IF(OR(G11="",H11=""),"",IF(G11&lt;=H11,"Reorder",""))</f>
        <v/>
      </c>
      <c r="J11" s="20" t="str">
        <f aca="false">IF(OR(C11="",G11=""),"",C11*G11)</f>
        <v/>
      </c>
    </row>
    <row r="12" customFormat="false" ht="15" hidden="false" customHeight="false" outlineLevel="0" collapsed="false">
      <c r="A12" s="7"/>
      <c r="B12" s="7"/>
      <c r="C12" s="17"/>
      <c r="D12" s="17"/>
      <c r="E12" s="20" t="str">
        <f aca="false">IF(D12="","",D12-C12)</f>
        <v/>
      </c>
      <c r="F12" s="22" t="str">
        <f aca="false">IF(OR(D12="",D12=0),"",(D12-C12)/D12)</f>
        <v/>
      </c>
      <c r="G12" s="7"/>
      <c r="H12" s="7"/>
      <c r="I12" s="10" t="str">
        <f aca="false">IF(OR(G12="",H12=""),"",IF(G12&lt;=H12,"Reorder",""))</f>
        <v/>
      </c>
      <c r="J12" s="20" t="str">
        <f aca="false">IF(OR(C12="",G12=""),"",C12*G12)</f>
        <v/>
      </c>
    </row>
    <row r="13" customFormat="false" ht="15" hidden="false" customHeight="false" outlineLevel="0" collapsed="false">
      <c r="A13" s="7"/>
      <c r="B13" s="7"/>
      <c r="C13" s="17"/>
      <c r="D13" s="17"/>
      <c r="E13" s="20" t="str">
        <f aca="false">IF(D13="","",D13-C13)</f>
        <v/>
      </c>
      <c r="F13" s="22" t="str">
        <f aca="false">IF(OR(D13="",D13=0),"",(D13-C13)/D13)</f>
        <v/>
      </c>
      <c r="G13" s="7"/>
      <c r="H13" s="7"/>
      <c r="I13" s="10" t="str">
        <f aca="false">IF(OR(G13="",H13=""),"",IF(G13&lt;=H13,"Reorder",""))</f>
        <v/>
      </c>
      <c r="J13" s="20" t="str">
        <f aca="false">IF(OR(C13="",G13=""),"",C13*G13)</f>
        <v/>
      </c>
    </row>
    <row r="14" customFormat="false" ht="15" hidden="false" customHeight="false" outlineLevel="0" collapsed="false">
      <c r="A14" s="7"/>
      <c r="B14" s="7"/>
      <c r="C14" s="17"/>
      <c r="D14" s="17"/>
      <c r="E14" s="20" t="str">
        <f aca="false">IF(D14="","",D14-C14)</f>
        <v/>
      </c>
      <c r="F14" s="22" t="str">
        <f aca="false">IF(OR(D14="",D14=0),"",(D14-C14)/D14)</f>
        <v/>
      </c>
      <c r="G14" s="7"/>
      <c r="H14" s="7"/>
      <c r="I14" s="10" t="str">
        <f aca="false">IF(OR(G14="",H14=""),"",IF(G14&lt;=H14,"Reorder",""))</f>
        <v/>
      </c>
      <c r="J14" s="20" t="str">
        <f aca="false">IF(OR(C14="",G14=""),"",C14*G14)</f>
        <v/>
      </c>
    </row>
    <row r="15" customFormat="false" ht="15" hidden="false" customHeight="false" outlineLevel="0" collapsed="false">
      <c r="A15" s="7"/>
      <c r="B15" s="7"/>
      <c r="C15" s="17"/>
      <c r="D15" s="17"/>
      <c r="E15" s="20" t="str">
        <f aca="false">IF(D15="","",D15-C15)</f>
        <v/>
      </c>
      <c r="F15" s="22" t="str">
        <f aca="false">IF(OR(D15="",D15=0),"",(D15-C15)/D15)</f>
        <v/>
      </c>
      <c r="G15" s="7"/>
      <c r="H15" s="7"/>
      <c r="I15" s="10" t="str">
        <f aca="false">IF(OR(G15="",H15=""),"",IF(G15&lt;=H15,"Reorder",""))</f>
        <v/>
      </c>
      <c r="J15" s="20" t="str">
        <f aca="false">IF(OR(C15="",G15=""),"",C15*G15)</f>
        <v/>
      </c>
    </row>
    <row r="16" customFormat="false" ht="15" hidden="false" customHeight="false" outlineLevel="0" collapsed="false">
      <c r="A16" s="7"/>
      <c r="B16" s="7"/>
      <c r="C16" s="17"/>
      <c r="D16" s="17"/>
      <c r="E16" s="20" t="str">
        <f aca="false">IF(D16="","",D16-C16)</f>
        <v/>
      </c>
      <c r="F16" s="22" t="str">
        <f aca="false">IF(OR(D16="",D16=0),"",(D16-C16)/D16)</f>
        <v/>
      </c>
      <c r="G16" s="7"/>
      <c r="H16" s="7"/>
      <c r="I16" s="10" t="str">
        <f aca="false">IF(OR(G16="",H16=""),"",IF(G16&lt;=H16,"Reorder",""))</f>
        <v/>
      </c>
      <c r="J16" s="20" t="str">
        <f aca="false">IF(OR(C16="",G16=""),"",C16*G16)</f>
        <v/>
      </c>
    </row>
    <row r="17" customFormat="false" ht="15" hidden="false" customHeight="false" outlineLevel="0" collapsed="false">
      <c r="A17" s="7"/>
      <c r="B17" s="7"/>
      <c r="C17" s="17"/>
      <c r="D17" s="17"/>
      <c r="E17" s="20" t="str">
        <f aca="false">IF(D17="","",D17-C17)</f>
        <v/>
      </c>
      <c r="F17" s="22" t="str">
        <f aca="false">IF(OR(D17="",D17=0),"",(D17-C17)/D17)</f>
        <v/>
      </c>
      <c r="G17" s="7"/>
      <c r="H17" s="7"/>
      <c r="I17" s="10" t="str">
        <f aca="false">IF(OR(G17="",H17=""),"",IF(G17&lt;=H17,"Reorder",""))</f>
        <v/>
      </c>
      <c r="J17" s="20" t="str">
        <f aca="false">IF(OR(C17="",G17=""),"",C17*G17)</f>
        <v/>
      </c>
    </row>
    <row r="18" customFormat="false" ht="15" hidden="false" customHeight="false" outlineLevel="0" collapsed="false">
      <c r="A18" s="7"/>
      <c r="B18" s="7"/>
      <c r="C18" s="17"/>
      <c r="D18" s="17"/>
      <c r="E18" s="20" t="str">
        <f aca="false">IF(D18="","",D18-C18)</f>
        <v/>
      </c>
      <c r="F18" s="22" t="str">
        <f aca="false">IF(OR(D18="",D18=0),"",(D18-C18)/D18)</f>
        <v/>
      </c>
      <c r="G18" s="7"/>
      <c r="H18" s="7"/>
      <c r="I18" s="10" t="str">
        <f aca="false">IF(OR(G18="",H18=""),"",IF(G18&lt;=H18,"Reorder",""))</f>
        <v/>
      </c>
      <c r="J18" s="20" t="str">
        <f aca="false">IF(OR(C18="",G18=""),"",C18*G18)</f>
        <v/>
      </c>
    </row>
    <row r="19" customFormat="false" ht="15" hidden="false" customHeight="false" outlineLevel="0" collapsed="false">
      <c r="A19" s="7"/>
      <c r="B19" s="7"/>
      <c r="C19" s="17"/>
      <c r="D19" s="17"/>
      <c r="E19" s="20" t="str">
        <f aca="false">IF(D19="","",D19-C19)</f>
        <v/>
      </c>
      <c r="F19" s="22" t="str">
        <f aca="false">IF(OR(D19="",D19=0),"",(D19-C19)/D19)</f>
        <v/>
      </c>
      <c r="G19" s="7"/>
      <c r="H19" s="7"/>
      <c r="I19" s="10" t="str">
        <f aca="false">IF(OR(G19="",H19=""),"",IF(G19&lt;=H19,"Reorder",""))</f>
        <v/>
      </c>
      <c r="J19" s="20" t="str">
        <f aca="false">IF(OR(C19="",G19=""),"",C19*G19)</f>
        <v/>
      </c>
    </row>
    <row r="20" customFormat="false" ht="15" hidden="false" customHeight="false" outlineLevel="0" collapsed="false">
      <c r="A20" s="7"/>
      <c r="B20" s="7"/>
      <c r="C20" s="17"/>
      <c r="D20" s="17"/>
      <c r="E20" s="20" t="str">
        <f aca="false">IF(D20="","",D20-C20)</f>
        <v/>
      </c>
      <c r="F20" s="22" t="str">
        <f aca="false">IF(OR(D20="",D20=0),"",(D20-C20)/D20)</f>
        <v/>
      </c>
      <c r="G20" s="7"/>
      <c r="H20" s="7"/>
      <c r="I20" s="10" t="str">
        <f aca="false">IF(OR(G20="",H20=""),"",IF(G20&lt;=H20,"Reorder",""))</f>
        <v/>
      </c>
      <c r="J20" s="20" t="str">
        <f aca="false">IF(OR(C20="",G20=""),"",C20*G20)</f>
        <v/>
      </c>
    </row>
    <row r="21" customFormat="false" ht="15" hidden="false" customHeight="false" outlineLevel="0" collapsed="false">
      <c r="A21" s="7"/>
      <c r="B21" s="7"/>
      <c r="C21" s="17"/>
      <c r="D21" s="17"/>
      <c r="E21" s="20" t="str">
        <f aca="false">IF(D21="","",D21-C21)</f>
        <v/>
      </c>
      <c r="F21" s="22" t="str">
        <f aca="false">IF(OR(D21="",D21=0),"",(D21-C21)/D21)</f>
        <v/>
      </c>
      <c r="G21" s="7"/>
      <c r="H21" s="7"/>
      <c r="I21" s="10" t="str">
        <f aca="false">IF(OR(G21="",H21=""),"",IF(G21&lt;=H21,"Reorder",""))</f>
        <v/>
      </c>
      <c r="J21" s="20" t="str">
        <f aca="false">IF(OR(C21="",G21=""),"",C21*G21)</f>
        <v/>
      </c>
    </row>
    <row r="22" customFormat="false" ht="15" hidden="false" customHeight="false" outlineLevel="0" collapsed="false">
      <c r="A22" s="7"/>
      <c r="B22" s="7"/>
      <c r="C22" s="17"/>
      <c r="D22" s="17"/>
      <c r="E22" s="20" t="str">
        <f aca="false">IF(D22="","",D22-C22)</f>
        <v/>
      </c>
      <c r="F22" s="22" t="str">
        <f aca="false">IF(OR(D22="",D22=0),"",(D22-C22)/D22)</f>
        <v/>
      </c>
      <c r="G22" s="7"/>
      <c r="H22" s="7"/>
      <c r="I22" s="10" t="str">
        <f aca="false">IF(OR(G22="",H22=""),"",IF(G22&lt;=H22,"Reorder",""))</f>
        <v/>
      </c>
      <c r="J22" s="20" t="str">
        <f aca="false">IF(OR(C22="",G22=""),"",C22*G22)</f>
        <v/>
      </c>
    </row>
    <row r="23" customFormat="false" ht="15" hidden="false" customHeight="false" outlineLevel="0" collapsed="false">
      <c r="A23" s="7"/>
      <c r="B23" s="7"/>
      <c r="C23" s="17"/>
      <c r="D23" s="17"/>
      <c r="E23" s="20" t="str">
        <f aca="false">IF(D23="","",D23-C23)</f>
        <v/>
      </c>
      <c r="F23" s="22" t="str">
        <f aca="false">IF(OR(D23="",D23=0),"",(D23-C23)/D23)</f>
        <v/>
      </c>
      <c r="G23" s="7"/>
      <c r="H23" s="7"/>
      <c r="I23" s="10" t="str">
        <f aca="false">IF(OR(G23="",H23=""),"",IF(G23&lt;=H23,"Reorder",""))</f>
        <v/>
      </c>
      <c r="J23" s="20" t="str">
        <f aca="false">IF(OR(C23="",G23=""),"",C23*G23)</f>
        <v/>
      </c>
    </row>
    <row r="24" customFormat="false" ht="15" hidden="false" customHeight="false" outlineLevel="0" collapsed="false">
      <c r="A24" s="7"/>
      <c r="B24" s="7"/>
      <c r="C24" s="17"/>
      <c r="D24" s="17"/>
      <c r="E24" s="20" t="str">
        <f aca="false">IF(D24="","",D24-C24)</f>
        <v/>
      </c>
      <c r="F24" s="22" t="str">
        <f aca="false">IF(OR(D24="",D24=0),"",(D24-C24)/D24)</f>
        <v/>
      </c>
      <c r="G24" s="7"/>
      <c r="H24" s="7"/>
      <c r="I24" s="10" t="str">
        <f aca="false">IF(OR(G24="",H24=""),"",IF(G24&lt;=H24,"Reorder",""))</f>
        <v/>
      </c>
      <c r="J24" s="20" t="str">
        <f aca="false">IF(OR(C24="",G24=""),"",C24*G24)</f>
        <v/>
      </c>
    </row>
    <row r="25" customFormat="false" ht="15" hidden="false" customHeight="false" outlineLevel="0" collapsed="false">
      <c r="A25" s="7"/>
      <c r="B25" s="7"/>
      <c r="C25" s="17"/>
      <c r="D25" s="17"/>
      <c r="E25" s="20" t="str">
        <f aca="false">IF(D25="","",D25-C25)</f>
        <v/>
      </c>
      <c r="F25" s="22" t="str">
        <f aca="false">IF(OR(D25="",D25=0),"",(D25-C25)/D25)</f>
        <v/>
      </c>
      <c r="G25" s="7"/>
      <c r="H25" s="7"/>
      <c r="I25" s="10" t="str">
        <f aca="false">IF(OR(G25="",H25=""),"",IF(G25&lt;=H25,"Reorder",""))</f>
        <v/>
      </c>
      <c r="J25" s="20" t="str">
        <f aca="false">IF(OR(C25="",G25=""),"",C25*G25)</f>
        <v/>
      </c>
    </row>
    <row r="26" customFormat="false" ht="15" hidden="false" customHeight="false" outlineLevel="0" collapsed="false">
      <c r="A26" s="7"/>
      <c r="B26" s="7"/>
      <c r="C26" s="17"/>
      <c r="D26" s="17"/>
      <c r="E26" s="20" t="str">
        <f aca="false">IF(D26="","",D26-C26)</f>
        <v/>
      </c>
      <c r="F26" s="22" t="str">
        <f aca="false">IF(OR(D26="",D26=0),"",(D26-C26)/D26)</f>
        <v/>
      </c>
      <c r="G26" s="7"/>
      <c r="H26" s="7"/>
      <c r="I26" s="10" t="str">
        <f aca="false">IF(OR(G26="",H26=""),"",IF(G26&lt;=H26,"Reorder",""))</f>
        <v/>
      </c>
      <c r="J26" s="20" t="str">
        <f aca="false">IF(OR(C26="",G26=""),"",C26*G26)</f>
        <v/>
      </c>
    </row>
    <row r="27" customFormat="false" ht="15" hidden="false" customHeight="false" outlineLevel="0" collapsed="false">
      <c r="A27" s="7"/>
      <c r="B27" s="7"/>
      <c r="C27" s="17"/>
      <c r="D27" s="17"/>
      <c r="E27" s="20" t="str">
        <f aca="false">IF(D27="","",D27-C27)</f>
        <v/>
      </c>
      <c r="F27" s="22" t="str">
        <f aca="false">IF(OR(D27="",D27=0),"",(D27-C27)/D27)</f>
        <v/>
      </c>
      <c r="G27" s="7"/>
      <c r="H27" s="7"/>
      <c r="I27" s="10" t="str">
        <f aca="false">IF(OR(G27="",H27=""),"",IF(G27&lt;=H27,"Reorder",""))</f>
        <v/>
      </c>
      <c r="J27" s="20" t="str">
        <f aca="false">IF(OR(C27="",G27=""),"",C27*G27)</f>
        <v/>
      </c>
    </row>
    <row r="28" customFormat="false" ht="15" hidden="false" customHeight="false" outlineLevel="0" collapsed="false">
      <c r="A28" s="7"/>
      <c r="B28" s="7"/>
      <c r="C28" s="17"/>
      <c r="D28" s="17"/>
      <c r="E28" s="20" t="str">
        <f aca="false">IF(D28="","",D28-C28)</f>
        <v/>
      </c>
      <c r="F28" s="22" t="str">
        <f aca="false">IF(OR(D28="",D28=0),"",(D28-C28)/D28)</f>
        <v/>
      </c>
      <c r="G28" s="7"/>
      <c r="H28" s="7"/>
      <c r="I28" s="10" t="str">
        <f aca="false">IF(OR(G28="",H28=""),"",IF(G28&lt;=H28,"Reorder",""))</f>
        <v/>
      </c>
      <c r="J28" s="20" t="str">
        <f aca="false">IF(OR(C28="",G28=""),"",C28*G28)</f>
        <v/>
      </c>
    </row>
    <row r="29" customFormat="false" ht="15" hidden="false" customHeight="false" outlineLevel="0" collapsed="false">
      <c r="A29" s="7"/>
      <c r="B29" s="7"/>
      <c r="C29" s="17"/>
      <c r="D29" s="17"/>
      <c r="E29" s="20" t="str">
        <f aca="false">IF(D29="","",D29-C29)</f>
        <v/>
      </c>
      <c r="F29" s="22" t="str">
        <f aca="false">IF(OR(D29="",D29=0),"",(D29-C29)/D29)</f>
        <v/>
      </c>
      <c r="G29" s="7"/>
      <c r="H29" s="7"/>
      <c r="I29" s="10" t="str">
        <f aca="false">IF(OR(G29="",H29=""),"",IF(G29&lt;=H29,"Reorder",""))</f>
        <v/>
      </c>
      <c r="J29" s="20" t="str">
        <f aca="false">IF(OR(C29="",G29=""),"",C29*G29)</f>
        <v/>
      </c>
    </row>
    <row r="30" customFormat="false" ht="15" hidden="false" customHeight="false" outlineLevel="0" collapsed="false">
      <c r="A30" s="7"/>
      <c r="B30" s="7"/>
      <c r="C30" s="17"/>
      <c r="D30" s="17"/>
      <c r="E30" s="20" t="str">
        <f aca="false">IF(D30="","",D30-C30)</f>
        <v/>
      </c>
      <c r="F30" s="22" t="str">
        <f aca="false">IF(OR(D30="",D30=0),"",(D30-C30)/D30)</f>
        <v/>
      </c>
      <c r="G30" s="7"/>
      <c r="H30" s="7"/>
      <c r="I30" s="10" t="str">
        <f aca="false">IF(OR(G30="",H30=""),"",IF(G30&lt;=H30,"Reorder",""))</f>
        <v/>
      </c>
      <c r="J30" s="20" t="str">
        <f aca="false">IF(OR(C30="",G30=""),"",C30*G30)</f>
        <v/>
      </c>
    </row>
    <row r="31" customFormat="false" ht="15" hidden="false" customHeight="false" outlineLevel="0" collapsed="false">
      <c r="A31" s="7"/>
      <c r="B31" s="7"/>
      <c r="C31" s="17"/>
      <c r="D31" s="17"/>
      <c r="E31" s="20" t="str">
        <f aca="false">IF(D31="","",D31-C31)</f>
        <v/>
      </c>
      <c r="F31" s="22" t="str">
        <f aca="false">IF(OR(D31="",D31=0),"",(D31-C31)/D31)</f>
        <v/>
      </c>
      <c r="G31" s="7"/>
      <c r="H31" s="7"/>
      <c r="I31" s="10" t="str">
        <f aca="false">IF(OR(G31="",H31=""),"",IF(G31&lt;=H31,"Reorder",""))</f>
        <v/>
      </c>
      <c r="J31" s="20" t="str">
        <f aca="false">IF(OR(C31="",G31=""),"",C31*G31)</f>
        <v/>
      </c>
    </row>
    <row r="32" customFormat="false" ht="15" hidden="false" customHeight="false" outlineLevel="0" collapsed="false">
      <c r="A32" s="7"/>
      <c r="B32" s="7"/>
      <c r="C32" s="17"/>
      <c r="D32" s="17"/>
      <c r="E32" s="20" t="str">
        <f aca="false">IF(D32="","",D32-C32)</f>
        <v/>
      </c>
      <c r="F32" s="22" t="str">
        <f aca="false">IF(OR(D32="",D32=0),"",(D32-C32)/D32)</f>
        <v/>
      </c>
      <c r="G32" s="7"/>
      <c r="H32" s="7"/>
      <c r="I32" s="10" t="str">
        <f aca="false">IF(OR(G32="",H32=""),"",IF(G32&lt;=H32,"Reorder",""))</f>
        <v/>
      </c>
      <c r="J32" s="20" t="str">
        <f aca="false">IF(OR(C32="",G32=""),"",C32*G32)</f>
        <v/>
      </c>
    </row>
    <row r="33" customFormat="false" ht="15" hidden="false" customHeight="false" outlineLevel="0" collapsed="false">
      <c r="A33" s="7"/>
      <c r="B33" s="7"/>
      <c r="C33" s="17"/>
      <c r="D33" s="17"/>
      <c r="E33" s="20" t="str">
        <f aca="false">IF(D33="","",D33-C33)</f>
        <v/>
      </c>
      <c r="F33" s="22" t="str">
        <f aca="false">IF(OR(D33="",D33=0),"",(D33-C33)/D33)</f>
        <v/>
      </c>
      <c r="G33" s="7"/>
      <c r="H33" s="7"/>
      <c r="I33" s="10" t="str">
        <f aca="false">IF(OR(G33="",H33=""),"",IF(G33&lt;=H33,"Reorder",""))</f>
        <v/>
      </c>
      <c r="J33" s="20" t="str">
        <f aca="false">IF(OR(C33="",G33=""),"",C33*G33)</f>
        <v/>
      </c>
    </row>
    <row r="34" customFormat="false" ht="15" hidden="false" customHeight="false" outlineLevel="0" collapsed="false">
      <c r="A34" s="7"/>
      <c r="B34" s="7"/>
      <c r="C34" s="17"/>
      <c r="D34" s="17"/>
      <c r="E34" s="20" t="str">
        <f aca="false">IF(D34="","",D34-C34)</f>
        <v/>
      </c>
      <c r="F34" s="22" t="str">
        <f aca="false">IF(OR(D34="",D34=0),"",(D34-C34)/D34)</f>
        <v/>
      </c>
      <c r="G34" s="7"/>
      <c r="H34" s="7"/>
      <c r="I34" s="10" t="str">
        <f aca="false">IF(OR(G34="",H34=""),"",IF(G34&lt;=H34,"Reorder",""))</f>
        <v/>
      </c>
      <c r="J34" s="20" t="str">
        <f aca="false">IF(OR(C34="",G34=""),"",C34*G34)</f>
        <v/>
      </c>
    </row>
    <row r="35" customFormat="false" ht="15" hidden="false" customHeight="false" outlineLevel="0" collapsed="false">
      <c r="A35" s="7"/>
      <c r="B35" s="7"/>
      <c r="C35" s="17"/>
      <c r="D35" s="17"/>
      <c r="E35" s="20" t="str">
        <f aca="false">IF(D35="","",D35-C35)</f>
        <v/>
      </c>
      <c r="F35" s="22" t="str">
        <f aca="false">IF(OR(D35="",D35=0),"",(D35-C35)/D35)</f>
        <v/>
      </c>
      <c r="G35" s="7"/>
      <c r="H35" s="7"/>
      <c r="I35" s="10" t="str">
        <f aca="false">IF(OR(G35="",H35=""),"",IF(G35&lt;=H35,"Reorder",""))</f>
        <v/>
      </c>
      <c r="J35" s="20" t="str">
        <f aca="false">IF(OR(C35="",G35=""),"",C35*G35)</f>
        <v/>
      </c>
    </row>
    <row r="36" customFormat="false" ht="15" hidden="false" customHeight="false" outlineLevel="0" collapsed="false">
      <c r="A36" s="7"/>
      <c r="B36" s="7"/>
      <c r="C36" s="17"/>
      <c r="D36" s="17"/>
      <c r="E36" s="20" t="str">
        <f aca="false">IF(D36="","",D36-C36)</f>
        <v/>
      </c>
      <c r="F36" s="22" t="str">
        <f aca="false">IF(OR(D36="",D36=0),"",(D36-C36)/D36)</f>
        <v/>
      </c>
      <c r="G36" s="7"/>
      <c r="H36" s="7"/>
      <c r="I36" s="10" t="str">
        <f aca="false">IF(OR(G36="",H36=""),"",IF(G36&lt;=H36,"Reorder",""))</f>
        <v/>
      </c>
      <c r="J36" s="20" t="str">
        <f aca="false">IF(OR(C36="",G36=""),"",C36*G36)</f>
        <v/>
      </c>
    </row>
    <row r="37" customFormat="false" ht="15" hidden="false" customHeight="false" outlineLevel="0" collapsed="false">
      <c r="A37" s="7"/>
      <c r="B37" s="7"/>
      <c r="C37" s="17"/>
      <c r="D37" s="17"/>
      <c r="E37" s="20" t="str">
        <f aca="false">IF(D37="","",D37-C37)</f>
        <v/>
      </c>
      <c r="F37" s="22" t="str">
        <f aca="false">IF(OR(D37="",D37=0),"",(D37-C37)/D37)</f>
        <v/>
      </c>
      <c r="G37" s="7"/>
      <c r="H37" s="7"/>
      <c r="I37" s="10" t="str">
        <f aca="false">IF(OR(G37="",H37=""),"",IF(G37&lt;=H37,"Reorder",""))</f>
        <v/>
      </c>
      <c r="J37" s="20" t="str">
        <f aca="false">IF(OR(C37="",G37=""),"",C37*G37)</f>
        <v/>
      </c>
    </row>
    <row r="38" customFormat="false" ht="15" hidden="false" customHeight="false" outlineLevel="0" collapsed="false">
      <c r="A38" s="7"/>
      <c r="B38" s="7"/>
      <c r="C38" s="17"/>
      <c r="D38" s="17"/>
      <c r="E38" s="20" t="str">
        <f aca="false">IF(D38="","",D38-C38)</f>
        <v/>
      </c>
      <c r="F38" s="22" t="str">
        <f aca="false">IF(OR(D38="",D38=0),"",(D38-C38)/D38)</f>
        <v/>
      </c>
      <c r="G38" s="7"/>
      <c r="H38" s="7"/>
      <c r="I38" s="10" t="str">
        <f aca="false">IF(OR(G38="",H38=""),"",IF(G38&lt;=H38,"Reorder",""))</f>
        <v/>
      </c>
      <c r="J38" s="20" t="str">
        <f aca="false">IF(OR(C38="",G38=""),"",C38*G38)</f>
        <v/>
      </c>
    </row>
    <row r="39" customFormat="false" ht="15" hidden="false" customHeight="false" outlineLevel="0" collapsed="false">
      <c r="A39" s="7"/>
      <c r="B39" s="7"/>
      <c r="C39" s="17"/>
      <c r="D39" s="17"/>
      <c r="E39" s="20" t="str">
        <f aca="false">IF(D39="","",D39-C39)</f>
        <v/>
      </c>
      <c r="F39" s="22" t="str">
        <f aca="false">IF(OR(D39="",D39=0),"",(D39-C39)/D39)</f>
        <v/>
      </c>
      <c r="G39" s="7"/>
      <c r="H39" s="7"/>
      <c r="I39" s="10" t="str">
        <f aca="false">IF(OR(G39="",H39=""),"",IF(G39&lt;=H39,"Reorder",""))</f>
        <v/>
      </c>
      <c r="J39" s="20" t="str">
        <f aca="false">IF(OR(C39="",G39=""),"",C39*G39)</f>
        <v/>
      </c>
    </row>
    <row r="40" customFormat="false" ht="15" hidden="false" customHeight="false" outlineLevel="0" collapsed="false">
      <c r="A40" s="7"/>
      <c r="B40" s="7"/>
      <c r="C40" s="17"/>
      <c r="D40" s="17"/>
      <c r="E40" s="20" t="str">
        <f aca="false">IF(D40="","",D40-C40)</f>
        <v/>
      </c>
      <c r="F40" s="22" t="str">
        <f aca="false">IF(OR(D40="",D40=0),"",(D40-C40)/D40)</f>
        <v/>
      </c>
      <c r="G40" s="7"/>
      <c r="H40" s="7"/>
      <c r="I40" s="10" t="str">
        <f aca="false">IF(OR(G40="",H40=""),"",IF(G40&lt;=H40,"Reorder",""))</f>
        <v/>
      </c>
      <c r="J40" s="20" t="str">
        <f aca="false">IF(OR(C40="",G40=""),"",C40*G40)</f>
        <v/>
      </c>
    </row>
    <row r="41" customFormat="false" ht="15" hidden="false" customHeight="false" outlineLevel="0" collapsed="false">
      <c r="A41" s="7"/>
      <c r="B41" s="7"/>
      <c r="C41" s="17"/>
      <c r="D41" s="17"/>
      <c r="E41" s="20" t="str">
        <f aca="false">IF(D41="","",D41-C41)</f>
        <v/>
      </c>
      <c r="F41" s="22" t="str">
        <f aca="false">IF(OR(D41="",D41=0),"",(D41-C41)/D41)</f>
        <v/>
      </c>
      <c r="G41" s="7"/>
      <c r="H41" s="7"/>
      <c r="I41" s="10" t="str">
        <f aca="false">IF(OR(G41="",H41=""),"",IF(G41&lt;=H41,"Reorder",""))</f>
        <v/>
      </c>
      <c r="J41" s="20" t="str">
        <f aca="false">IF(OR(C41="",G41=""),"",C41*G41)</f>
        <v/>
      </c>
    </row>
    <row r="42" customFormat="false" ht="15" hidden="false" customHeight="false" outlineLevel="0" collapsed="false">
      <c r="A42" s="7"/>
      <c r="B42" s="7"/>
      <c r="C42" s="17"/>
      <c r="D42" s="17"/>
      <c r="E42" s="20" t="str">
        <f aca="false">IF(D42="","",D42-C42)</f>
        <v/>
      </c>
      <c r="F42" s="22" t="str">
        <f aca="false">IF(OR(D42="",D42=0),"",(D42-C42)/D42)</f>
        <v/>
      </c>
      <c r="G42" s="7"/>
      <c r="H42" s="7"/>
      <c r="I42" s="10" t="str">
        <f aca="false">IF(OR(G42="",H42=""),"",IF(G42&lt;=H42,"Reorder",""))</f>
        <v/>
      </c>
      <c r="J42" s="20" t="str">
        <f aca="false">IF(OR(C42="",G42=""),"",C42*G42)</f>
        <v/>
      </c>
    </row>
    <row r="43" customFormat="false" ht="15" hidden="false" customHeight="false" outlineLevel="0" collapsed="false">
      <c r="A43" s="7"/>
      <c r="B43" s="7"/>
      <c r="C43" s="17"/>
      <c r="D43" s="17"/>
      <c r="E43" s="20" t="str">
        <f aca="false">IF(D43="","",D43-C43)</f>
        <v/>
      </c>
      <c r="F43" s="22" t="str">
        <f aca="false">IF(OR(D43="",D43=0),"",(D43-C43)/D43)</f>
        <v/>
      </c>
      <c r="G43" s="7"/>
      <c r="H43" s="7"/>
      <c r="I43" s="10" t="str">
        <f aca="false">IF(OR(G43="",H43=""),"",IF(G43&lt;=H43,"Reorder",""))</f>
        <v/>
      </c>
      <c r="J43" s="20" t="str">
        <f aca="false">IF(OR(C43="",G43=""),"",C43*G43)</f>
        <v/>
      </c>
    </row>
    <row r="44" customFormat="false" ht="15" hidden="false" customHeight="false" outlineLevel="0" collapsed="false">
      <c r="A44" s="7"/>
      <c r="B44" s="7"/>
      <c r="C44" s="17"/>
      <c r="D44" s="17"/>
      <c r="E44" s="20" t="str">
        <f aca="false">IF(D44="","",D44-C44)</f>
        <v/>
      </c>
      <c r="F44" s="22" t="str">
        <f aca="false">IF(OR(D44="",D44=0),"",(D44-C44)/D44)</f>
        <v/>
      </c>
      <c r="G44" s="7"/>
      <c r="H44" s="7"/>
      <c r="I44" s="10" t="str">
        <f aca="false">IF(OR(G44="",H44=""),"",IF(G44&lt;=H44,"Reorder",""))</f>
        <v/>
      </c>
      <c r="J44" s="20" t="str">
        <f aca="false">IF(OR(C44="",G44=""),"",C44*G44)</f>
        <v/>
      </c>
    </row>
    <row r="45" customFormat="false" ht="15" hidden="false" customHeight="false" outlineLevel="0" collapsed="false">
      <c r="A45" s="7"/>
      <c r="B45" s="7"/>
      <c r="C45" s="17"/>
      <c r="D45" s="17"/>
      <c r="E45" s="20" t="str">
        <f aca="false">IF(D45="","",D45-C45)</f>
        <v/>
      </c>
      <c r="F45" s="22" t="str">
        <f aca="false">IF(OR(D45="",D45=0),"",(D45-C45)/D45)</f>
        <v/>
      </c>
      <c r="G45" s="7"/>
      <c r="H45" s="7"/>
      <c r="I45" s="10" t="str">
        <f aca="false">IF(OR(G45="",H45=""),"",IF(G45&lt;=H45,"Reorder",""))</f>
        <v/>
      </c>
      <c r="J45" s="20" t="str">
        <f aca="false">IF(OR(C45="",G45=""),"",C45*G45)</f>
        <v/>
      </c>
    </row>
    <row r="46" customFormat="false" ht="15" hidden="false" customHeight="false" outlineLevel="0" collapsed="false">
      <c r="A46" s="7"/>
      <c r="B46" s="7"/>
      <c r="C46" s="17"/>
      <c r="D46" s="17"/>
      <c r="E46" s="20" t="str">
        <f aca="false">IF(D46="","",D46-C46)</f>
        <v/>
      </c>
      <c r="F46" s="22" t="str">
        <f aca="false">IF(OR(D46="",D46=0),"",(D46-C46)/D46)</f>
        <v/>
      </c>
      <c r="G46" s="7"/>
      <c r="H46" s="7"/>
      <c r="I46" s="10" t="str">
        <f aca="false">IF(OR(G46="",H46=""),"",IF(G46&lt;=H46,"Reorder",""))</f>
        <v/>
      </c>
      <c r="J46" s="20" t="str">
        <f aca="false">IF(OR(C46="",G46=""),"",C46*G46)</f>
        <v/>
      </c>
    </row>
    <row r="47" customFormat="false" ht="15" hidden="false" customHeight="false" outlineLevel="0" collapsed="false">
      <c r="A47" s="7"/>
      <c r="B47" s="7"/>
      <c r="C47" s="17"/>
      <c r="D47" s="17"/>
      <c r="E47" s="20" t="str">
        <f aca="false">IF(D47="","",D47-C47)</f>
        <v/>
      </c>
      <c r="F47" s="22" t="str">
        <f aca="false">IF(OR(D47="",D47=0),"",(D47-C47)/D47)</f>
        <v/>
      </c>
      <c r="G47" s="7"/>
      <c r="H47" s="7"/>
      <c r="I47" s="10" t="str">
        <f aca="false">IF(OR(G47="",H47=""),"",IF(G47&lt;=H47,"Reorder",""))</f>
        <v/>
      </c>
      <c r="J47" s="20" t="str">
        <f aca="false">IF(OR(C47="",G47=""),"",C47*G47)</f>
        <v/>
      </c>
    </row>
    <row r="48" customFormat="false" ht="15" hidden="false" customHeight="false" outlineLevel="0" collapsed="false">
      <c r="A48" s="7"/>
      <c r="B48" s="7"/>
      <c r="C48" s="17"/>
      <c r="D48" s="17"/>
      <c r="E48" s="20" t="str">
        <f aca="false">IF(D48="","",D48-C48)</f>
        <v/>
      </c>
      <c r="F48" s="22" t="str">
        <f aca="false">IF(OR(D48="",D48=0),"",(D48-C48)/D48)</f>
        <v/>
      </c>
      <c r="G48" s="7"/>
      <c r="H48" s="7"/>
      <c r="I48" s="10" t="str">
        <f aca="false">IF(OR(G48="",H48=""),"",IF(G48&lt;=H48,"Reorder",""))</f>
        <v/>
      </c>
      <c r="J48" s="20" t="str">
        <f aca="false">IF(OR(C48="",G48=""),"",C48*G48)</f>
        <v/>
      </c>
    </row>
    <row r="49" customFormat="false" ht="15" hidden="false" customHeight="false" outlineLevel="0" collapsed="false">
      <c r="A49" s="7"/>
      <c r="B49" s="7"/>
      <c r="C49" s="17"/>
      <c r="D49" s="17"/>
      <c r="E49" s="20" t="str">
        <f aca="false">IF(D49="","",D49-C49)</f>
        <v/>
      </c>
      <c r="F49" s="22" t="str">
        <f aca="false">IF(OR(D49="",D49=0),"",(D49-C49)/D49)</f>
        <v/>
      </c>
      <c r="G49" s="7"/>
      <c r="H49" s="7"/>
      <c r="I49" s="10" t="str">
        <f aca="false">IF(OR(G49="",H49=""),"",IF(G49&lt;=H49,"Reorder",""))</f>
        <v/>
      </c>
      <c r="J49" s="20" t="str">
        <f aca="false">IF(OR(C49="",G49=""),"",C49*G49)</f>
        <v/>
      </c>
    </row>
    <row r="50" customFormat="false" ht="15" hidden="false" customHeight="false" outlineLevel="0" collapsed="false">
      <c r="A50" s="7"/>
      <c r="B50" s="7"/>
      <c r="C50" s="17"/>
      <c r="D50" s="17"/>
      <c r="E50" s="20" t="str">
        <f aca="false">IF(D50="","",D50-C50)</f>
        <v/>
      </c>
      <c r="F50" s="22" t="str">
        <f aca="false">IF(OR(D50="",D50=0),"",(D50-C50)/D50)</f>
        <v/>
      </c>
      <c r="G50" s="7"/>
      <c r="H50" s="7"/>
      <c r="I50" s="10" t="str">
        <f aca="false">IF(OR(G50="",H50=""),"",IF(G50&lt;=H50,"Reorder",""))</f>
        <v/>
      </c>
      <c r="J50" s="20" t="str">
        <f aca="false">IF(OR(C50="",G50=""),"",C50*G50)</f>
        <v/>
      </c>
    </row>
    <row r="51" customFormat="false" ht="15" hidden="false" customHeight="false" outlineLevel="0" collapsed="false">
      <c r="A51" s="7"/>
      <c r="B51" s="7"/>
      <c r="C51" s="17"/>
      <c r="D51" s="17"/>
      <c r="E51" s="20" t="str">
        <f aca="false">IF(D51="","",D51-C51)</f>
        <v/>
      </c>
      <c r="F51" s="22" t="str">
        <f aca="false">IF(OR(D51="",D51=0),"",(D51-C51)/D51)</f>
        <v/>
      </c>
      <c r="G51" s="7"/>
      <c r="H51" s="7"/>
      <c r="I51" s="10" t="str">
        <f aca="false">IF(OR(G51="",H51=""),"",IF(G51&lt;=H51,"Reorder",""))</f>
        <v/>
      </c>
      <c r="J51" s="20" t="str">
        <f aca="false">IF(OR(C51="",G51=""),"",C51*G51)</f>
        <v/>
      </c>
    </row>
    <row r="52" customFormat="false" ht="15" hidden="false" customHeight="false" outlineLevel="0" collapsed="false">
      <c r="A52" s="7"/>
      <c r="B52" s="7"/>
      <c r="C52" s="17"/>
      <c r="D52" s="17"/>
      <c r="E52" s="20" t="str">
        <f aca="false">IF(D52="","",D52-C52)</f>
        <v/>
      </c>
      <c r="F52" s="22" t="str">
        <f aca="false">IF(OR(D52="",D52=0),"",(D52-C52)/D52)</f>
        <v/>
      </c>
      <c r="G52" s="7"/>
      <c r="H52" s="7"/>
      <c r="I52" s="10" t="str">
        <f aca="false">IF(OR(G52="",H52=""),"",IF(G52&lt;=H52,"Reorder",""))</f>
        <v/>
      </c>
      <c r="J52" s="20" t="str">
        <f aca="false">IF(OR(C52="",G52=""),"",C52*G52)</f>
        <v/>
      </c>
    </row>
    <row r="53" customFormat="false" ht="15" hidden="false" customHeight="false" outlineLevel="0" collapsed="false">
      <c r="A53" s="7"/>
      <c r="B53" s="7"/>
      <c r="C53" s="17"/>
      <c r="D53" s="17"/>
      <c r="E53" s="20" t="str">
        <f aca="false">IF(D53="","",D53-C53)</f>
        <v/>
      </c>
      <c r="F53" s="22" t="str">
        <f aca="false">IF(OR(D53="",D53=0),"",(D53-C53)/D53)</f>
        <v/>
      </c>
      <c r="G53" s="7"/>
      <c r="H53" s="7"/>
      <c r="I53" s="10" t="str">
        <f aca="false">IF(OR(G53="",H53=""),"",IF(G53&lt;=H53,"Reorder",""))</f>
        <v/>
      </c>
      <c r="J53" s="20" t="str">
        <f aca="false">IF(OR(C53="",G53=""),"",C53*G53)</f>
        <v/>
      </c>
    </row>
    <row r="54" customFormat="false" ht="15" hidden="false" customHeight="false" outlineLevel="0" collapsed="false">
      <c r="A54" s="7"/>
      <c r="B54" s="7"/>
      <c r="C54" s="17"/>
      <c r="D54" s="17"/>
      <c r="E54" s="20" t="str">
        <f aca="false">IF(D54="","",D54-C54)</f>
        <v/>
      </c>
      <c r="F54" s="22" t="str">
        <f aca="false">IF(OR(D54="",D54=0),"",(D54-C54)/D54)</f>
        <v/>
      </c>
      <c r="G54" s="7"/>
      <c r="H54" s="7"/>
      <c r="I54" s="10" t="str">
        <f aca="false">IF(OR(G54="",H54=""),"",IF(G54&lt;=H54,"Reorder",""))</f>
        <v/>
      </c>
      <c r="J54" s="20" t="str">
        <f aca="false">IF(OR(C54="",G54=""),"",C54*G54)</f>
        <v/>
      </c>
    </row>
    <row r="55" customFormat="false" ht="15" hidden="false" customHeight="false" outlineLevel="0" collapsed="false">
      <c r="A55" s="7"/>
      <c r="B55" s="7"/>
      <c r="C55" s="17"/>
      <c r="D55" s="17"/>
      <c r="E55" s="20" t="str">
        <f aca="false">IF(D55="","",D55-C55)</f>
        <v/>
      </c>
      <c r="F55" s="22" t="str">
        <f aca="false">IF(OR(D55="",D55=0),"",(D55-C55)/D55)</f>
        <v/>
      </c>
      <c r="G55" s="7"/>
      <c r="H55" s="7"/>
      <c r="I55" s="10" t="str">
        <f aca="false">IF(OR(G55="",H55=""),"",IF(G55&lt;=H55,"Reorder",""))</f>
        <v/>
      </c>
      <c r="J55" s="20" t="str">
        <f aca="false">IF(OR(C55="",G55=""),"",C55*G55)</f>
        <v/>
      </c>
    </row>
    <row r="56" customFormat="false" ht="15" hidden="false" customHeight="false" outlineLevel="0" collapsed="false">
      <c r="A56" s="7"/>
      <c r="B56" s="7"/>
      <c r="C56" s="17"/>
      <c r="D56" s="17"/>
      <c r="E56" s="20" t="str">
        <f aca="false">IF(D56="","",D56-C56)</f>
        <v/>
      </c>
      <c r="F56" s="22" t="str">
        <f aca="false">IF(OR(D56="",D56=0),"",(D56-C56)/D56)</f>
        <v/>
      </c>
      <c r="G56" s="7"/>
      <c r="H56" s="7"/>
      <c r="I56" s="10" t="str">
        <f aca="false">IF(OR(G56="",H56=""),"",IF(G56&lt;=H56,"Reorder",""))</f>
        <v/>
      </c>
      <c r="J56" s="20" t="str">
        <f aca="false">IF(OR(C56="",G56=""),"",C56*G56)</f>
        <v/>
      </c>
    </row>
    <row r="57" customFormat="false" ht="15" hidden="false" customHeight="false" outlineLevel="0" collapsed="false">
      <c r="A57" s="7"/>
      <c r="B57" s="7"/>
      <c r="C57" s="17"/>
      <c r="D57" s="17"/>
      <c r="E57" s="20" t="str">
        <f aca="false">IF(D57="","",D57-C57)</f>
        <v/>
      </c>
      <c r="F57" s="22" t="str">
        <f aca="false">IF(OR(D57="",D57=0),"",(D57-C57)/D57)</f>
        <v/>
      </c>
      <c r="G57" s="7"/>
      <c r="H57" s="7"/>
      <c r="I57" s="10" t="str">
        <f aca="false">IF(OR(G57="",H57=""),"",IF(G57&lt;=H57,"Reorder",""))</f>
        <v/>
      </c>
      <c r="J57" s="20" t="str">
        <f aca="false">IF(OR(C57="",G57=""),"",C57*G57)</f>
        <v/>
      </c>
    </row>
    <row r="58" customFormat="false" ht="15" hidden="false" customHeight="false" outlineLevel="0" collapsed="false">
      <c r="A58" s="7"/>
      <c r="B58" s="7"/>
      <c r="C58" s="17"/>
      <c r="D58" s="17"/>
      <c r="E58" s="20" t="str">
        <f aca="false">IF(D58="","",D58-C58)</f>
        <v/>
      </c>
      <c r="F58" s="22" t="str">
        <f aca="false">IF(OR(D58="",D58=0),"",(D58-C58)/D58)</f>
        <v/>
      </c>
      <c r="G58" s="7"/>
      <c r="H58" s="7"/>
      <c r="I58" s="10" t="str">
        <f aca="false">IF(OR(G58="",H58=""),"",IF(G58&lt;=H58,"Reorder",""))</f>
        <v/>
      </c>
      <c r="J58" s="20" t="str">
        <f aca="false">IF(OR(C58="",G58=""),"",C58*G58)</f>
        <v/>
      </c>
    </row>
    <row r="59" customFormat="false" ht="15" hidden="false" customHeight="false" outlineLevel="0" collapsed="false">
      <c r="A59" s="7"/>
      <c r="B59" s="7"/>
      <c r="C59" s="17"/>
      <c r="D59" s="17"/>
      <c r="E59" s="20" t="str">
        <f aca="false">IF(D59="","",D59-C59)</f>
        <v/>
      </c>
      <c r="F59" s="22" t="str">
        <f aca="false">IF(OR(D59="",D59=0),"",(D59-C59)/D59)</f>
        <v/>
      </c>
      <c r="G59" s="7"/>
      <c r="H59" s="7"/>
      <c r="I59" s="10" t="str">
        <f aca="false">IF(OR(G59="",H59=""),"",IF(G59&lt;=H59,"Reorder",""))</f>
        <v/>
      </c>
      <c r="J59" s="20" t="str">
        <f aca="false">IF(OR(C59="",G59=""),"",C59*G59)</f>
        <v/>
      </c>
    </row>
    <row r="60" customFormat="false" ht="15" hidden="false" customHeight="false" outlineLevel="0" collapsed="false">
      <c r="A60" s="7"/>
      <c r="B60" s="7"/>
      <c r="C60" s="17"/>
      <c r="D60" s="17"/>
      <c r="E60" s="20" t="str">
        <f aca="false">IF(D60="","",D60-C60)</f>
        <v/>
      </c>
      <c r="F60" s="22" t="str">
        <f aca="false">IF(OR(D60="",D60=0),"",(D60-C60)/D60)</f>
        <v/>
      </c>
      <c r="G60" s="7"/>
      <c r="H60" s="7"/>
      <c r="I60" s="10" t="str">
        <f aca="false">IF(OR(G60="",H60=""),"",IF(G60&lt;=H60,"Reorder",""))</f>
        <v/>
      </c>
      <c r="J60" s="20" t="str">
        <f aca="false">IF(OR(C60="",G60=""),"",C60*G60)</f>
        <v/>
      </c>
    </row>
    <row r="61" customFormat="false" ht="15" hidden="false" customHeight="false" outlineLevel="0" collapsed="false">
      <c r="A61" s="7"/>
      <c r="B61" s="7"/>
      <c r="C61" s="17"/>
      <c r="D61" s="17"/>
      <c r="E61" s="20" t="str">
        <f aca="false">IF(D61="","",D61-C61)</f>
        <v/>
      </c>
      <c r="F61" s="22" t="str">
        <f aca="false">IF(OR(D61="",D61=0),"",(D61-C61)/D61)</f>
        <v/>
      </c>
      <c r="G61" s="7"/>
      <c r="H61" s="7"/>
      <c r="I61" s="10" t="str">
        <f aca="false">IF(OR(G61="",H61=""),"",IF(G61&lt;=H61,"Reorder",""))</f>
        <v/>
      </c>
      <c r="J61" s="20" t="str">
        <f aca="false">IF(OR(C61="",G61=""),"",C61*G61)</f>
        <v/>
      </c>
    </row>
    <row r="62" customFormat="false" ht="15" hidden="false" customHeight="false" outlineLevel="0" collapsed="false">
      <c r="A62" s="7"/>
      <c r="B62" s="7"/>
      <c r="C62" s="17"/>
      <c r="D62" s="17"/>
      <c r="E62" s="20" t="str">
        <f aca="false">IF(D62="","",D62-C62)</f>
        <v/>
      </c>
      <c r="F62" s="22" t="str">
        <f aca="false">IF(OR(D62="",D62=0),"",(D62-C62)/D62)</f>
        <v/>
      </c>
      <c r="G62" s="7"/>
      <c r="H62" s="7"/>
      <c r="I62" s="10" t="str">
        <f aca="false">IF(OR(G62="",H62=""),"",IF(G62&lt;=H62,"Reorder",""))</f>
        <v/>
      </c>
      <c r="J62" s="20" t="str">
        <f aca="false">IF(OR(C62="",G62=""),"",C62*G62)</f>
        <v/>
      </c>
    </row>
    <row r="63" customFormat="false" ht="15" hidden="false" customHeight="false" outlineLevel="0" collapsed="false">
      <c r="A63" s="7"/>
      <c r="B63" s="7"/>
      <c r="C63" s="17"/>
      <c r="D63" s="17"/>
      <c r="E63" s="20" t="str">
        <f aca="false">IF(D63="","",D63-C63)</f>
        <v/>
      </c>
      <c r="F63" s="22" t="str">
        <f aca="false">IF(OR(D63="",D63=0),"",(D63-C63)/D63)</f>
        <v/>
      </c>
      <c r="G63" s="7"/>
      <c r="H63" s="7"/>
      <c r="I63" s="10" t="str">
        <f aca="false">IF(OR(G63="",H63=""),"",IF(G63&lt;=H63,"Reorder",""))</f>
        <v/>
      </c>
      <c r="J63" s="20" t="str">
        <f aca="false">IF(OR(C63="",G63=""),"",C63*G63)</f>
        <v/>
      </c>
    </row>
    <row r="64" customFormat="false" ht="15" hidden="false" customHeight="false" outlineLevel="0" collapsed="false">
      <c r="A64" s="7"/>
      <c r="B64" s="7"/>
      <c r="C64" s="17"/>
      <c r="D64" s="17"/>
      <c r="E64" s="20" t="str">
        <f aca="false">IF(D64="","",D64-C64)</f>
        <v/>
      </c>
      <c r="F64" s="22" t="str">
        <f aca="false">IF(OR(D64="",D64=0),"",(D64-C64)/D64)</f>
        <v/>
      </c>
      <c r="G64" s="7"/>
      <c r="H64" s="7"/>
      <c r="I64" s="10" t="str">
        <f aca="false">IF(OR(G64="",H64=""),"",IF(G64&lt;=H64,"Reorder",""))</f>
        <v/>
      </c>
      <c r="J64" s="20" t="str">
        <f aca="false">IF(OR(C64="",G64=""),"",C64*G64)</f>
        <v/>
      </c>
    </row>
    <row r="65" customFormat="false" ht="15" hidden="false" customHeight="false" outlineLevel="0" collapsed="false">
      <c r="A65" s="7"/>
      <c r="B65" s="7"/>
      <c r="C65" s="17"/>
      <c r="D65" s="17"/>
      <c r="E65" s="20" t="str">
        <f aca="false">IF(D65="","",D65-C65)</f>
        <v/>
      </c>
      <c r="F65" s="22" t="str">
        <f aca="false">IF(OR(D65="",D65=0),"",(D65-C65)/D65)</f>
        <v/>
      </c>
      <c r="G65" s="7"/>
      <c r="H65" s="7"/>
      <c r="I65" s="10" t="str">
        <f aca="false">IF(OR(G65="",H65=""),"",IF(G65&lt;=H65,"Reorder",""))</f>
        <v/>
      </c>
      <c r="J65" s="20" t="str">
        <f aca="false">IF(OR(C65="",G65=""),"",C65*G65)</f>
        <v/>
      </c>
    </row>
    <row r="66" customFormat="false" ht="15" hidden="false" customHeight="false" outlineLevel="0" collapsed="false">
      <c r="A66" s="7"/>
      <c r="B66" s="7"/>
      <c r="C66" s="17"/>
      <c r="D66" s="17"/>
      <c r="E66" s="20" t="str">
        <f aca="false">IF(D66="","",D66-C66)</f>
        <v/>
      </c>
      <c r="F66" s="22" t="str">
        <f aca="false">IF(OR(D66="",D66=0),"",(D66-C66)/D66)</f>
        <v/>
      </c>
      <c r="G66" s="7"/>
      <c r="H66" s="7"/>
      <c r="I66" s="10" t="str">
        <f aca="false">IF(OR(G66="",H66=""),"",IF(G66&lt;=H66,"Reorder",""))</f>
        <v/>
      </c>
      <c r="J66" s="20" t="str">
        <f aca="false">IF(OR(C66="",G66=""),"",C66*G66)</f>
        <v/>
      </c>
    </row>
    <row r="67" customFormat="false" ht="15" hidden="false" customHeight="false" outlineLevel="0" collapsed="false">
      <c r="A67" s="7"/>
      <c r="B67" s="7"/>
      <c r="C67" s="17"/>
      <c r="D67" s="17"/>
      <c r="E67" s="20" t="str">
        <f aca="false">IF(D67="","",D67-C67)</f>
        <v/>
      </c>
      <c r="F67" s="22" t="str">
        <f aca="false">IF(OR(D67="",D67=0),"",(D67-C67)/D67)</f>
        <v/>
      </c>
      <c r="G67" s="7"/>
      <c r="H67" s="7"/>
      <c r="I67" s="10" t="str">
        <f aca="false">IF(OR(G67="",H67=""),"",IF(G67&lt;=H67,"Reorder",""))</f>
        <v/>
      </c>
      <c r="J67" s="20" t="str">
        <f aca="false">IF(OR(C67="",G67=""),"",C67*G67)</f>
        <v/>
      </c>
    </row>
    <row r="68" customFormat="false" ht="15" hidden="false" customHeight="false" outlineLevel="0" collapsed="false">
      <c r="A68" s="7"/>
      <c r="B68" s="7"/>
      <c r="C68" s="17"/>
      <c r="D68" s="17"/>
      <c r="E68" s="20" t="str">
        <f aca="false">IF(D68="","",D68-C68)</f>
        <v/>
      </c>
      <c r="F68" s="22" t="str">
        <f aca="false">IF(OR(D68="",D68=0),"",(D68-C68)/D68)</f>
        <v/>
      </c>
      <c r="G68" s="7"/>
      <c r="H68" s="7"/>
      <c r="I68" s="10" t="str">
        <f aca="false">IF(OR(G68="",H68=""),"",IF(G68&lt;=H68,"Reorder",""))</f>
        <v/>
      </c>
      <c r="J68" s="20" t="str">
        <f aca="false">IF(OR(C68="",G68=""),"",C68*G68)</f>
        <v/>
      </c>
    </row>
    <row r="69" customFormat="false" ht="15" hidden="false" customHeight="false" outlineLevel="0" collapsed="false">
      <c r="A69" s="7"/>
      <c r="B69" s="7"/>
      <c r="C69" s="17"/>
      <c r="D69" s="17"/>
      <c r="E69" s="20" t="str">
        <f aca="false">IF(D69="","",D69-C69)</f>
        <v/>
      </c>
      <c r="F69" s="22" t="str">
        <f aca="false">IF(OR(D69="",D69=0),"",(D69-C69)/D69)</f>
        <v/>
      </c>
      <c r="G69" s="7"/>
      <c r="H69" s="7"/>
      <c r="I69" s="10" t="str">
        <f aca="false">IF(OR(G69="",H69=""),"",IF(G69&lt;=H69,"Reorder",""))</f>
        <v/>
      </c>
      <c r="J69" s="20" t="str">
        <f aca="false">IF(OR(C69="",G69=""),"",C69*G69)</f>
        <v/>
      </c>
    </row>
    <row r="70" customFormat="false" ht="15" hidden="false" customHeight="false" outlineLevel="0" collapsed="false">
      <c r="A70" s="7"/>
      <c r="B70" s="7"/>
      <c r="C70" s="17"/>
      <c r="D70" s="17"/>
      <c r="E70" s="20" t="str">
        <f aca="false">IF(D70="","",D70-C70)</f>
        <v/>
      </c>
      <c r="F70" s="22" t="str">
        <f aca="false">IF(OR(D70="",D70=0),"",(D70-C70)/D70)</f>
        <v/>
      </c>
      <c r="G70" s="7"/>
      <c r="H70" s="7"/>
      <c r="I70" s="10" t="str">
        <f aca="false">IF(OR(G70="",H70=""),"",IF(G70&lt;=H70,"Reorder",""))</f>
        <v/>
      </c>
      <c r="J70" s="20" t="str">
        <f aca="false">IF(OR(C70="",G70=""),"",C70*G70)</f>
        <v/>
      </c>
    </row>
    <row r="71" customFormat="false" ht="15" hidden="false" customHeight="false" outlineLevel="0" collapsed="false">
      <c r="A71" s="7"/>
      <c r="B71" s="7"/>
      <c r="C71" s="17"/>
      <c r="D71" s="17"/>
      <c r="E71" s="20" t="str">
        <f aca="false">IF(D71="","",D71-C71)</f>
        <v/>
      </c>
      <c r="F71" s="22" t="str">
        <f aca="false">IF(OR(D71="",D71=0),"",(D71-C71)/D71)</f>
        <v/>
      </c>
      <c r="G71" s="7"/>
      <c r="H71" s="7"/>
      <c r="I71" s="10" t="str">
        <f aca="false">IF(OR(G71="",H71=""),"",IF(G71&lt;=H71,"Reorder",""))</f>
        <v/>
      </c>
      <c r="J71" s="20" t="str">
        <f aca="false">IF(OR(C71="",G71=""),"",C71*G71)</f>
        <v/>
      </c>
    </row>
    <row r="72" customFormat="false" ht="15" hidden="false" customHeight="false" outlineLevel="0" collapsed="false">
      <c r="A72" s="7"/>
      <c r="B72" s="7"/>
      <c r="C72" s="17"/>
      <c r="D72" s="17"/>
      <c r="E72" s="20" t="str">
        <f aca="false">IF(D72="","",D72-C72)</f>
        <v/>
      </c>
      <c r="F72" s="22" t="str">
        <f aca="false">IF(OR(D72="",D72=0),"",(D72-C72)/D72)</f>
        <v/>
      </c>
      <c r="G72" s="7"/>
      <c r="H72" s="7"/>
      <c r="I72" s="10" t="str">
        <f aca="false">IF(OR(G72="",H72=""),"",IF(G72&lt;=H72,"Reorder",""))</f>
        <v/>
      </c>
      <c r="J72" s="20" t="str">
        <f aca="false">IF(OR(C72="",G72=""),"",C72*G72)</f>
        <v/>
      </c>
    </row>
    <row r="73" customFormat="false" ht="15" hidden="false" customHeight="false" outlineLevel="0" collapsed="false">
      <c r="A73" s="7"/>
      <c r="B73" s="7"/>
      <c r="C73" s="17"/>
      <c r="D73" s="17"/>
      <c r="E73" s="20" t="str">
        <f aca="false">IF(D73="","",D73-C73)</f>
        <v/>
      </c>
      <c r="F73" s="22" t="str">
        <f aca="false">IF(OR(D73="",D73=0),"",(D73-C73)/D73)</f>
        <v/>
      </c>
      <c r="G73" s="7"/>
      <c r="H73" s="7"/>
      <c r="I73" s="10" t="str">
        <f aca="false">IF(OR(G73="",H73=""),"",IF(G73&lt;=H73,"Reorder",""))</f>
        <v/>
      </c>
      <c r="J73" s="20" t="str">
        <f aca="false">IF(OR(C73="",G73=""),"",C73*G73)</f>
        <v/>
      </c>
    </row>
    <row r="74" customFormat="false" ht="15" hidden="false" customHeight="false" outlineLevel="0" collapsed="false">
      <c r="A74" s="7"/>
      <c r="B74" s="7"/>
      <c r="C74" s="17"/>
      <c r="D74" s="17"/>
      <c r="E74" s="20" t="str">
        <f aca="false">IF(D74="","",D74-C74)</f>
        <v/>
      </c>
      <c r="F74" s="22" t="str">
        <f aca="false">IF(OR(D74="",D74=0),"",(D74-C74)/D74)</f>
        <v/>
      </c>
      <c r="G74" s="7"/>
      <c r="H74" s="7"/>
      <c r="I74" s="10" t="str">
        <f aca="false">IF(OR(G74="",H74=""),"",IF(G74&lt;=H74,"Reorder",""))</f>
        <v/>
      </c>
      <c r="J74" s="20" t="str">
        <f aca="false">IF(OR(C74="",G74=""),"",C74*G74)</f>
        <v/>
      </c>
    </row>
    <row r="75" customFormat="false" ht="15" hidden="false" customHeight="false" outlineLevel="0" collapsed="false">
      <c r="A75" s="7"/>
      <c r="B75" s="7"/>
      <c r="C75" s="17"/>
      <c r="D75" s="17"/>
      <c r="E75" s="20" t="str">
        <f aca="false">IF(D75="","",D75-C75)</f>
        <v/>
      </c>
      <c r="F75" s="22" t="str">
        <f aca="false">IF(OR(D75="",D75=0),"",(D75-C75)/D75)</f>
        <v/>
      </c>
      <c r="G75" s="7"/>
      <c r="H75" s="7"/>
      <c r="I75" s="10" t="str">
        <f aca="false">IF(OR(G75="",H75=""),"",IF(G75&lt;=H75,"Reorder",""))</f>
        <v/>
      </c>
      <c r="J75" s="20" t="str">
        <f aca="false">IF(OR(C75="",G75=""),"",C75*G75)</f>
        <v/>
      </c>
    </row>
    <row r="76" customFormat="false" ht="15" hidden="false" customHeight="false" outlineLevel="0" collapsed="false">
      <c r="A76" s="7"/>
      <c r="B76" s="7"/>
      <c r="C76" s="17"/>
      <c r="D76" s="17"/>
      <c r="E76" s="20" t="str">
        <f aca="false">IF(D76="","",D76-C76)</f>
        <v/>
      </c>
      <c r="F76" s="22" t="str">
        <f aca="false">IF(OR(D76="",D76=0),"",(D76-C76)/D76)</f>
        <v/>
      </c>
      <c r="G76" s="7"/>
      <c r="H76" s="7"/>
      <c r="I76" s="10" t="str">
        <f aca="false">IF(OR(G76="",H76=""),"",IF(G76&lt;=H76,"Reorder",""))</f>
        <v/>
      </c>
      <c r="J76" s="20" t="str">
        <f aca="false">IF(OR(C76="",G76=""),"",C76*G76)</f>
        <v/>
      </c>
    </row>
    <row r="77" customFormat="false" ht="15" hidden="false" customHeight="false" outlineLevel="0" collapsed="false">
      <c r="A77" s="7"/>
      <c r="B77" s="7"/>
      <c r="C77" s="17"/>
      <c r="D77" s="17"/>
      <c r="E77" s="20" t="str">
        <f aca="false">IF(D77="","",D77-C77)</f>
        <v/>
      </c>
      <c r="F77" s="22" t="str">
        <f aca="false">IF(OR(D77="",D77=0),"",(D77-C77)/D77)</f>
        <v/>
      </c>
      <c r="G77" s="7"/>
      <c r="H77" s="7"/>
      <c r="I77" s="10" t="str">
        <f aca="false">IF(OR(G77="",H77=""),"",IF(G77&lt;=H77,"Reorder",""))</f>
        <v/>
      </c>
      <c r="J77" s="20" t="str">
        <f aca="false">IF(OR(C77="",G77=""),"",C77*G77)</f>
        <v/>
      </c>
    </row>
    <row r="78" customFormat="false" ht="15" hidden="false" customHeight="false" outlineLevel="0" collapsed="false">
      <c r="A78" s="7"/>
      <c r="B78" s="7"/>
      <c r="C78" s="17"/>
      <c r="D78" s="17"/>
      <c r="E78" s="20" t="str">
        <f aca="false">IF(D78="","",D78-C78)</f>
        <v/>
      </c>
      <c r="F78" s="22" t="str">
        <f aca="false">IF(OR(D78="",D78=0),"",(D78-C78)/D78)</f>
        <v/>
      </c>
      <c r="G78" s="7"/>
      <c r="H78" s="7"/>
      <c r="I78" s="10" t="str">
        <f aca="false">IF(OR(G78="",H78=""),"",IF(G78&lt;=H78,"Reorder",""))</f>
        <v/>
      </c>
      <c r="J78" s="20" t="str">
        <f aca="false">IF(OR(C78="",G78=""),"",C78*G78)</f>
        <v/>
      </c>
    </row>
    <row r="79" customFormat="false" ht="15" hidden="false" customHeight="false" outlineLevel="0" collapsed="false">
      <c r="A79" s="7"/>
      <c r="B79" s="7"/>
      <c r="C79" s="17"/>
      <c r="D79" s="17"/>
      <c r="E79" s="20" t="str">
        <f aca="false">IF(D79="","",D79-C79)</f>
        <v/>
      </c>
      <c r="F79" s="22" t="str">
        <f aca="false">IF(OR(D79="",D79=0),"",(D79-C79)/D79)</f>
        <v/>
      </c>
      <c r="G79" s="7"/>
      <c r="H79" s="7"/>
      <c r="I79" s="10" t="str">
        <f aca="false">IF(OR(G79="",H79=""),"",IF(G79&lt;=H79,"Reorder",""))</f>
        <v/>
      </c>
      <c r="J79" s="20" t="str">
        <f aca="false">IF(OR(C79="",G79=""),"",C79*G79)</f>
        <v/>
      </c>
    </row>
    <row r="80" customFormat="false" ht="15" hidden="false" customHeight="false" outlineLevel="0" collapsed="false">
      <c r="A80" s="7"/>
      <c r="B80" s="7"/>
      <c r="C80" s="17"/>
      <c r="D80" s="17"/>
      <c r="E80" s="20" t="str">
        <f aca="false">IF(D80="","",D80-C80)</f>
        <v/>
      </c>
      <c r="F80" s="22" t="str">
        <f aca="false">IF(OR(D80="",D80=0),"",(D80-C80)/D80)</f>
        <v/>
      </c>
      <c r="G80" s="7"/>
      <c r="H80" s="7"/>
      <c r="I80" s="10" t="str">
        <f aca="false">IF(OR(G80="",H80=""),"",IF(G80&lt;=H80,"Reorder",""))</f>
        <v/>
      </c>
      <c r="J80" s="20" t="str">
        <f aca="false">IF(OR(C80="",G80=""),"",C80*G80)</f>
        <v/>
      </c>
    </row>
    <row r="81" customFormat="false" ht="15" hidden="false" customHeight="false" outlineLevel="0" collapsed="false">
      <c r="A81" s="7"/>
      <c r="B81" s="7"/>
      <c r="C81" s="17"/>
      <c r="D81" s="17"/>
      <c r="E81" s="20" t="str">
        <f aca="false">IF(D81="","",D81-C81)</f>
        <v/>
      </c>
      <c r="F81" s="22" t="str">
        <f aca="false">IF(OR(D81="",D81=0),"",(D81-C81)/D81)</f>
        <v/>
      </c>
      <c r="G81" s="7"/>
      <c r="H81" s="7"/>
      <c r="I81" s="10" t="str">
        <f aca="false">IF(OR(G81="",H81=""),"",IF(G81&lt;=H81,"Reorder",""))</f>
        <v/>
      </c>
      <c r="J81" s="20" t="str">
        <f aca="false">IF(OR(C81="",G81=""),"",C81*G81)</f>
        <v/>
      </c>
    </row>
    <row r="82" customFormat="false" ht="15" hidden="false" customHeight="false" outlineLevel="0" collapsed="false">
      <c r="A82" s="7"/>
      <c r="B82" s="7"/>
      <c r="C82" s="17"/>
      <c r="D82" s="17"/>
      <c r="E82" s="20" t="str">
        <f aca="false">IF(D82="","",D82-C82)</f>
        <v/>
      </c>
      <c r="F82" s="22" t="str">
        <f aca="false">IF(OR(D82="",D82=0),"",(D82-C82)/D82)</f>
        <v/>
      </c>
      <c r="G82" s="7"/>
      <c r="H82" s="7"/>
      <c r="I82" s="10" t="str">
        <f aca="false">IF(OR(G82="",H82=""),"",IF(G82&lt;=H82,"Reorder",""))</f>
        <v/>
      </c>
      <c r="J82" s="20" t="str">
        <f aca="false">IF(OR(C82="",G82=""),"",C82*G82)</f>
        <v/>
      </c>
    </row>
    <row r="83" customFormat="false" ht="15" hidden="false" customHeight="false" outlineLevel="0" collapsed="false">
      <c r="A83" s="7"/>
      <c r="B83" s="7"/>
      <c r="C83" s="17"/>
      <c r="D83" s="17"/>
      <c r="E83" s="20" t="str">
        <f aca="false">IF(D83="","",D83-C83)</f>
        <v/>
      </c>
      <c r="F83" s="22" t="str">
        <f aca="false">IF(OR(D83="",D83=0),"",(D83-C83)/D83)</f>
        <v/>
      </c>
      <c r="G83" s="7"/>
      <c r="H83" s="7"/>
      <c r="I83" s="10" t="str">
        <f aca="false">IF(OR(G83="",H83=""),"",IF(G83&lt;=H83,"Reorder",""))</f>
        <v/>
      </c>
      <c r="J83" s="20" t="str">
        <f aca="false">IF(OR(C83="",G83=""),"",C83*G83)</f>
        <v/>
      </c>
    </row>
    <row r="84" customFormat="false" ht="15" hidden="false" customHeight="false" outlineLevel="0" collapsed="false">
      <c r="A84" s="7"/>
      <c r="B84" s="7"/>
      <c r="C84" s="17"/>
      <c r="D84" s="17"/>
      <c r="E84" s="20" t="str">
        <f aca="false">IF(D84="","",D84-C84)</f>
        <v/>
      </c>
      <c r="F84" s="22" t="str">
        <f aca="false">IF(OR(D84="",D84=0),"",(D84-C84)/D84)</f>
        <v/>
      </c>
      <c r="G84" s="7"/>
      <c r="H84" s="7"/>
      <c r="I84" s="10" t="str">
        <f aca="false">IF(OR(G84="",H84=""),"",IF(G84&lt;=H84,"Reorder",""))</f>
        <v/>
      </c>
      <c r="J84" s="20" t="str">
        <f aca="false">IF(OR(C84="",G84=""),"",C84*G84)</f>
        <v/>
      </c>
    </row>
    <row r="85" customFormat="false" ht="15" hidden="false" customHeight="false" outlineLevel="0" collapsed="false">
      <c r="A85" s="7"/>
      <c r="B85" s="7"/>
      <c r="C85" s="17"/>
      <c r="D85" s="17"/>
      <c r="E85" s="20" t="str">
        <f aca="false">IF(D85="","",D85-C85)</f>
        <v/>
      </c>
      <c r="F85" s="22" t="str">
        <f aca="false">IF(OR(D85="",D85=0),"",(D85-C85)/D85)</f>
        <v/>
      </c>
      <c r="G85" s="7"/>
      <c r="H85" s="7"/>
      <c r="I85" s="10" t="str">
        <f aca="false">IF(OR(G85="",H85=""),"",IF(G85&lt;=H85,"Reorder",""))</f>
        <v/>
      </c>
      <c r="J85" s="20" t="str">
        <f aca="false">IF(OR(C85="",G85=""),"",C85*G85)</f>
        <v/>
      </c>
    </row>
    <row r="86" customFormat="false" ht="15" hidden="false" customHeight="false" outlineLevel="0" collapsed="false">
      <c r="A86" s="7"/>
      <c r="B86" s="7"/>
      <c r="C86" s="17"/>
      <c r="D86" s="17"/>
      <c r="E86" s="20" t="str">
        <f aca="false">IF(D86="","",D86-C86)</f>
        <v/>
      </c>
      <c r="F86" s="22" t="str">
        <f aca="false">IF(OR(D86="",D86=0),"",(D86-C86)/D86)</f>
        <v/>
      </c>
      <c r="G86" s="7"/>
      <c r="H86" s="7"/>
      <c r="I86" s="10" t="str">
        <f aca="false">IF(OR(G86="",H86=""),"",IF(G86&lt;=H86,"Reorder",""))</f>
        <v/>
      </c>
      <c r="J86" s="20" t="str">
        <f aca="false">IF(OR(C86="",G86=""),"",C86*G86)</f>
        <v/>
      </c>
    </row>
    <row r="87" customFormat="false" ht="15" hidden="false" customHeight="false" outlineLevel="0" collapsed="false">
      <c r="A87" s="7"/>
      <c r="B87" s="7"/>
      <c r="C87" s="17"/>
      <c r="D87" s="17"/>
      <c r="E87" s="20" t="str">
        <f aca="false">IF(D87="","",D87-C87)</f>
        <v/>
      </c>
      <c r="F87" s="22" t="str">
        <f aca="false">IF(OR(D87="",D87=0),"",(D87-C87)/D87)</f>
        <v/>
      </c>
      <c r="G87" s="7"/>
      <c r="H87" s="7"/>
      <c r="I87" s="10" t="str">
        <f aca="false">IF(OR(G87="",H87=""),"",IF(G87&lt;=H87,"Reorder",""))</f>
        <v/>
      </c>
      <c r="J87" s="20" t="str">
        <f aca="false">IF(OR(C87="",G87=""),"",C87*G87)</f>
        <v/>
      </c>
    </row>
    <row r="88" customFormat="false" ht="15" hidden="false" customHeight="false" outlineLevel="0" collapsed="false">
      <c r="A88" s="7"/>
      <c r="B88" s="7"/>
      <c r="C88" s="17"/>
      <c r="D88" s="17"/>
      <c r="E88" s="20" t="str">
        <f aca="false">IF(D88="","",D88-C88)</f>
        <v/>
      </c>
      <c r="F88" s="22" t="str">
        <f aca="false">IF(OR(D88="",D88=0),"",(D88-C88)/D88)</f>
        <v/>
      </c>
      <c r="G88" s="7"/>
      <c r="H88" s="7"/>
      <c r="I88" s="10" t="str">
        <f aca="false">IF(OR(G88="",H88=""),"",IF(G88&lt;=H88,"Reorder",""))</f>
        <v/>
      </c>
      <c r="J88" s="20" t="str">
        <f aca="false">IF(OR(C88="",G88=""),"",C88*G88)</f>
        <v/>
      </c>
    </row>
    <row r="89" customFormat="false" ht="15" hidden="false" customHeight="false" outlineLevel="0" collapsed="false">
      <c r="A89" s="7"/>
      <c r="B89" s="7"/>
      <c r="C89" s="17"/>
      <c r="D89" s="17"/>
      <c r="E89" s="20" t="str">
        <f aca="false">IF(D89="","",D89-C89)</f>
        <v/>
      </c>
      <c r="F89" s="22" t="str">
        <f aca="false">IF(OR(D89="",D89=0),"",(D89-C89)/D89)</f>
        <v/>
      </c>
      <c r="G89" s="7"/>
      <c r="H89" s="7"/>
      <c r="I89" s="10" t="str">
        <f aca="false">IF(OR(G89="",H89=""),"",IF(G89&lt;=H89,"Reorder",""))</f>
        <v/>
      </c>
      <c r="J89" s="20" t="str">
        <f aca="false">IF(OR(C89="",G89=""),"",C89*G89)</f>
        <v/>
      </c>
    </row>
    <row r="90" customFormat="false" ht="15" hidden="false" customHeight="false" outlineLevel="0" collapsed="false">
      <c r="A90" s="7"/>
      <c r="B90" s="7"/>
      <c r="C90" s="17"/>
      <c r="D90" s="17"/>
      <c r="E90" s="20" t="str">
        <f aca="false">IF(D90="","",D90-C90)</f>
        <v/>
      </c>
      <c r="F90" s="22" t="str">
        <f aca="false">IF(OR(D90="",D90=0),"",(D90-C90)/D90)</f>
        <v/>
      </c>
      <c r="G90" s="7"/>
      <c r="H90" s="7"/>
      <c r="I90" s="10" t="str">
        <f aca="false">IF(OR(G90="",H90=""),"",IF(G90&lt;=H90,"Reorder",""))</f>
        <v/>
      </c>
      <c r="J90" s="20" t="str">
        <f aca="false">IF(OR(C90="",G90=""),"",C90*G90)</f>
        <v/>
      </c>
    </row>
    <row r="91" customFormat="false" ht="15" hidden="false" customHeight="false" outlineLevel="0" collapsed="false">
      <c r="A91" s="7"/>
      <c r="B91" s="7"/>
      <c r="C91" s="17"/>
      <c r="D91" s="17"/>
      <c r="E91" s="20" t="str">
        <f aca="false">IF(D91="","",D91-C91)</f>
        <v/>
      </c>
      <c r="F91" s="22" t="str">
        <f aca="false">IF(OR(D91="",D91=0),"",(D91-C91)/D91)</f>
        <v/>
      </c>
      <c r="G91" s="7"/>
      <c r="H91" s="7"/>
      <c r="I91" s="10" t="str">
        <f aca="false">IF(OR(G91="",H91=""),"",IF(G91&lt;=H91,"Reorder",""))</f>
        <v/>
      </c>
      <c r="J91" s="20" t="str">
        <f aca="false">IF(OR(C91="",G91=""),"",C91*G91)</f>
        <v/>
      </c>
    </row>
    <row r="92" customFormat="false" ht="15" hidden="false" customHeight="false" outlineLevel="0" collapsed="false">
      <c r="A92" s="7"/>
      <c r="B92" s="7"/>
      <c r="C92" s="17"/>
      <c r="D92" s="17"/>
      <c r="E92" s="20" t="str">
        <f aca="false">IF(D92="","",D92-C92)</f>
        <v/>
      </c>
      <c r="F92" s="22" t="str">
        <f aca="false">IF(OR(D92="",D92=0),"",(D92-C92)/D92)</f>
        <v/>
      </c>
      <c r="G92" s="7"/>
      <c r="H92" s="7"/>
      <c r="I92" s="10" t="str">
        <f aca="false">IF(OR(G92="",H92=""),"",IF(G92&lt;=H92,"Reorder",""))</f>
        <v/>
      </c>
      <c r="J92" s="20" t="str">
        <f aca="false">IF(OR(C92="",G92=""),"",C92*G92)</f>
        <v/>
      </c>
    </row>
    <row r="93" customFormat="false" ht="15" hidden="false" customHeight="false" outlineLevel="0" collapsed="false">
      <c r="A93" s="7"/>
      <c r="B93" s="7"/>
      <c r="C93" s="17"/>
      <c r="D93" s="17"/>
      <c r="E93" s="20" t="str">
        <f aca="false">IF(D93="","",D93-C93)</f>
        <v/>
      </c>
      <c r="F93" s="22" t="str">
        <f aca="false">IF(OR(D93="",D93=0),"",(D93-C93)/D93)</f>
        <v/>
      </c>
      <c r="G93" s="7"/>
      <c r="H93" s="7"/>
      <c r="I93" s="10" t="str">
        <f aca="false">IF(OR(G93="",H93=""),"",IF(G93&lt;=H93,"Reorder",""))</f>
        <v/>
      </c>
      <c r="J93" s="20" t="str">
        <f aca="false">IF(OR(C93="",G93=""),"",C93*G93)</f>
        <v/>
      </c>
    </row>
    <row r="94" customFormat="false" ht="15" hidden="false" customHeight="false" outlineLevel="0" collapsed="false">
      <c r="A94" s="7"/>
      <c r="B94" s="7"/>
      <c r="C94" s="17"/>
      <c r="D94" s="17"/>
      <c r="E94" s="20" t="str">
        <f aca="false">IF(D94="","",D94-C94)</f>
        <v/>
      </c>
      <c r="F94" s="22" t="str">
        <f aca="false">IF(OR(D94="",D94=0),"",(D94-C94)/D94)</f>
        <v/>
      </c>
      <c r="G94" s="7"/>
      <c r="H94" s="7"/>
      <c r="I94" s="10" t="str">
        <f aca="false">IF(OR(G94="",H94=""),"",IF(G94&lt;=H94,"Reorder",""))</f>
        <v/>
      </c>
      <c r="J94" s="20" t="str">
        <f aca="false">IF(OR(C94="",G94=""),"",C94*G94)</f>
        <v/>
      </c>
    </row>
    <row r="95" customFormat="false" ht="15" hidden="false" customHeight="false" outlineLevel="0" collapsed="false">
      <c r="A95" s="7"/>
      <c r="B95" s="7"/>
      <c r="C95" s="17"/>
      <c r="D95" s="17"/>
      <c r="E95" s="20" t="str">
        <f aca="false">IF(D95="","",D95-C95)</f>
        <v/>
      </c>
      <c r="F95" s="22" t="str">
        <f aca="false">IF(OR(D95="",D95=0),"",(D95-C95)/D95)</f>
        <v/>
      </c>
      <c r="G95" s="7"/>
      <c r="H95" s="7"/>
      <c r="I95" s="10" t="str">
        <f aca="false">IF(OR(G95="",H95=""),"",IF(G95&lt;=H95,"Reorder",""))</f>
        <v/>
      </c>
      <c r="J95" s="20" t="str">
        <f aca="false">IF(OR(C95="",G95=""),"",C95*G95)</f>
        <v/>
      </c>
    </row>
    <row r="96" customFormat="false" ht="15" hidden="false" customHeight="false" outlineLevel="0" collapsed="false">
      <c r="A96" s="7"/>
      <c r="B96" s="7"/>
      <c r="C96" s="17"/>
      <c r="D96" s="17"/>
      <c r="E96" s="20" t="str">
        <f aca="false">IF(D96="","",D96-C96)</f>
        <v/>
      </c>
      <c r="F96" s="22" t="str">
        <f aca="false">IF(OR(D96="",D96=0),"",(D96-C96)/D96)</f>
        <v/>
      </c>
      <c r="G96" s="7"/>
      <c r="H96" s="7"/>
      <c r="I96" s="10" t="str">
        <f aca="false">IF(OR(G96="",H96=""),"",IF(G96&lt;=H96,"Reorder",""))</f>
        <v/>
      </c>
      <c r="J96" s="20" t="str">
        <f aca="false">IF(OR(C96="",G96=""),"",C96*G96)</f>
        <v/>
      </c>
    </row>
    <row r="97" customFormat="false" ht="15" hidden="false" customHeight="false" outlineLevel="0" collapsed="false">
      <c r="A97" s="7"/>
      <c r="B97" s="7"/>
      <c r="C97" s="17"/>
      <c r="D97" s="17"/>
      <c r="E97" s="20" t="str">
        <f aca="false">IF(D97="","",D97-C97)</f>
        <v/>
      </c>
      <c r="F97" s="22" t="str">
        <f aca="false">IF(OR(D97="",D97=0),"",(D97-C97)/D97)</f>
        <v/>
      </c>
      <c r="G97" s="7"/>
      <c r="H97" s="7"/>
      <c r="I97" s="10" t="str">
        <f aca="false">IF(OR(G97="",H97=""),"",IF(G97&lt;=H97,"Reorder",""))</f>
        <v/>
      </c>
      <c r="J97" s="20" t="str">
        <f aca="false">IF(OR(C97="",G97=""),"",C97*G97)</f>
        <v/>
      </c>
    </row>
    <row r="98" customFormat="false" ht="15" hidden="false" customHeight="false" outlineLevel="0" collapsed="false">
      <c r="A98" s="7"/>
      <c r="B98" s="7"/>
      <c r="C98" s="17"/>
      <c r="D98" s="17"/>
      <c r="E98" s="20" t="str">
        <f aca="false">IF(D98="","",D98-C98)</f>
        <v/>
      </c>
      <c r="F98" s="22" t="str">
        <f aca="false">IF(OR(D98="",D98=0),"",(D98-C98)/D98)</f>
        <v/>
      </c>
      <c r="G98" s="7"/>
      <c r="H98" s="7"/>
      <c r="I98" s="10" t="str">
        <f aca="false">IF(OR(G98="",H98=""),"",IF(G98&lt;=H98,"Reorder",""))</f>
        <v/>
      </c>
      <c r="J98" s="20" t="str">
        <f aca="false">IF(OR(C98="",G98=""),"",C98*G98)</f>
        <v/>
      </c>
    </row>
    <row r="99" customFormat="false" ht="15" hidden="false" customHeight="false" outlineLevel="0" collapsed="false">
      <c r="A99" s="7"/>
      <c r="B99" s="7"/>
      <c r="C99" s="17"/>
      <c r="D99" s="17"/>
      <c r="E99" s="20" t="str">
        <f aca="false">IF(D99="","",D99-C99)</f>
        <v/>
      </c>
      <c r="F99" s="22" t="str">
        <f aca="false">IF(OR(D99="",D99=0),"",(D99-C99)/D99)</f>
        <v/>
      </c>
      <c r="G99" s="7"/>
      <c r="H99" s="7"/>
      <c r="I99" s="10" t="str">
        <f aca="false">IF(OR(G99="",H99=""),"",IF(G99&lt;=H99,"Reorder",""))</f>
        <v/>
      </c>
      <c r="J99" s="20" t="str">
        <f aca="false">IF(OR(C99="",G99=""),"",C99*G99)</f>
        <v/>
      </c>
    </row>
    <row r="100" customFormat="false" ht="15" hidden="false" customHeight="false" outlineLevel="0" collapsed="false">
      <c r="A100" s="7"/>
      <c r="B100" s="7"/>
      <c r="C100" s="17"/>
      <c r="D100" s="17"/>
      <c r="E100" s="20" t="str">
        <f aca="false">IF(D100="","",D100-C100)</f>
        <v/>
      </c>
      <c r="F100" s="22" t="str">
        <f aca="false">IF(OR(D100="",D100=0),"",(D100-C100)/D100)</f>
        <v/>
      </c>
      <c r="G100" s="7"/>
      <c r="H100" s="7"/>
      <c r="I100" s="10" t="str">
        <f aca="false">IF(OR(G100="",H100=""),"",IF(G100&lt;=H100,"Reorder",""))</f>
        <v/>
      </c>
      <c r="J100" s="20" t="str">
        <f aca="false">IF(OR(C100="",G100=""),"",C100*G100)</f>
        <v/>
      </c>
    </row>
    <row r="101" customFormat="false" ht="15" hidden="false" customHeight="false" outlineLevel="0" collapsed="false">
      <c r="A101" s="7"/>
      <c r="B101" s="7"/>
      <c r="C101" s="17"/>
      <c r="D101" s="17"/>
      <c r="E101" s="20" t="str">
        <f aca="false">IF(D101="","",D101-C101)</f>
        <v/>
      </c>
      <c r="F101" s="22" t="str">
        <f aca="false">IF(OR(D101="",D101=0),"",(D101-C101)/D101)</f>
        <v/>
      </c>
      <c r="G101" s="7"/>
      <c r="H101" s="7"/>
      <c r="I101" s="10" t="str">
        <f aca="false">IF(OR(G101="",H101=""),"",IF(G101&lt;=H101,"Reorder",""))</f>
        <v/>
      </c>
      <c r="J101" s="20" t="str">
        <f aca="false">IF(OR(C101="",G101=""),"",C101*G101)</f>
        <v/>
      </c>
    </row>
    <row r="102" customFormat="false" ht="15" hidden="false" customHeight="false" outlineLevel="0" collapsed="false">
      <c r="A102" s="7"/>
      <c r="B102" s="7"/>
      <c r="C102" s="17"/>
      <c r="D102" s="17"/>
      <c r="E102" s="20" t="str">
        <f aca="false">IF(D102="","",D102-C102)</f>
        <v/>
      </c>
      <c r="F102" s="22" t="str">
        <f aca="false">IF(OR(D102="",D102=0),"",(D102-C102)/D102)</f>
        <v/>
      </c>
      <c r="G102" s="7"/>
      <c r="H102" s="7"/>
      <c r="I102" s="10" t="str">
        <f aca="false">IF(OR(G102="",H102=""),"",IF(G102&lt;=H102,"Reorder",""))</f>
        <v/>
      </c>
      <c r="J102" s="20" t="str">
        <f aca="false">IF(OR(C102="",G102=""),"",C102*G102)</f>
        <v/>
      </c>
    </row>
    <row r="103" customFormat="false" ht="15" hidden="false" customHeight="false" outlineLevel="0" collapsed="false">
      <c r="A103" s="7"/>
      <c r="B103" s="7"/>
      <c r="C103" s="17"/>
      <c r="D103" s="17"/>
      <c r="E103" s="20" t="str">
        <f aca="false">IF(D103="","",D103-C103)</f>
        <v/>
      </c>
      <c r="F103" s="22" t="str">
        <f aca="false">IF(OR(D103="",D103=0),"",(D103-C103)/D103)</f>
        <v/>
      </c>
      <c r="G103" s="7"/>
      <c r="H103" s="7"/>
      <c r="I103" s="10" t="str">
        <f aca="false">IF(OR(G103="",H103=""),"",IF(G103&lt;=H103,"Reorder",""))</f>
        <v/>
      </c>
      <c r="J103" s="20" t="str">
        <f aca="false">IF(OR(C103="",G103=""),"",C103*G103)</f>
        <v/>
      </c>
    </row>
    <row r="104" customFormat="false" ht="15" hidden="false" customHeight="false" outlineLevel="0" collapsed="false">
      <c r="A104" s="7"/>
      <c r="B104" s="7"/>
      <c r="C104" s="17"/>
      <c r="D104" s="17"/>
      <c r="E104" s="20" t="str">
        <f aca="false">IF(D104="","",D104-C104)</f>
        <v/>
      </c>
      <c r="F104" s="22" t="str">
        <f aca="false">IF(OR(D104="",D104=0),"",(D104-C104)/D104)</f>
        <v/>
      </c>
      <c r="G104" s="7"/>
      <c r="H104" s="7"/>
      <c r="I104" s="10" t="str">
        <f aca="false">IF(OR(G104="",H104=""),"",IF(G104&lt;=H104,"Reorder",""))</f>
        <v/>
      </c>
      <c r="J104" s="20" t="str">
        <f aca="false">IF(OR(C104="",G104=""),"",C104*G104)</f>
        <v/>
      </c>
    </row>
    <row r="105" customFormat="false" ht="15" hidden="false" customHeight="false" outlineLevel="0" collapsed="false">
      <c r="A105" s="7"/>
      <c r="B105" s="7"/>
      <c r="C105" s="17"/>
      <c r="D105" s="17"/>
      <c r="E105" s="20" t="str">
        <f aca="false">IF(D105="","",D105-C105)</f>
        <v/>
      </c>
      <c r="F105" s="22" t="str">
        <f aca="false">IF(OR(D105="",D105=0),"",(D105-C105)/D105)</f>
        <v/>
      </c>
      <c r="G105" s="7"/>
      <c r="H105" s="7"/>
      <c r="I105" s="10" t="str">
        <f aca="false">IF(OR(G105="",H105=""),"",IF(G105&lt;=H105,"Reorder",""))</f>
        <v/>
      </c>
      <c r="J105" s="20" t="str">
        <f aca="false">IF(OR(C105="",G105=""),"",C105*G105)</f>
        <v/>
      </c>
    </row>
    <row r="108" customFormat="false" ht="15" hidden="false" customHeight="false" outlineLevel="0" collapsed="false">
      <c r="A108" s="23" t="s">
        <v>100</v>
      </c>
      <c r="J108" s="24" t="n">
        <f aca="false">SUM(J6:J105)</f>
        <v>84</v>
      </c>
    </row>
    <row r="109" customFormat="false" ht="15" hidden="false" customHeight="false" outlineLevel="0" collapsed="false">
      <c r="A109" s="1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1"/>
  </cols>
  <sheetData>
    <row r="1" customFormat="false" ht="25.5" hidden="false" customHeight="tru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15" hidden="false" customHeight="false" outlineLevel="0" collapsed="false">
      <c r="A4" s="4"/>
      <c r="B4" s="25" t="s">
        <v>104</v>
      </c>
      <c r="C4" s="25" t="s">
        <v>105</v>
      </c>
      <c r="D4" s="25" t="s">
        <v>106</v>
      </c>
      <c r="E4" s="25" t="s">
        <v>107</v>
      </c>
      <c r="F4" s="25" t="s">
        <v>108</v>
      </c>
      <c r="G4" s="25" t="s">
        <v>109</v>
      </c>
      <c r="H4" s="25" t="s">
        <v>110</v>
      </c>
      <c r="I4" s="25" t="s">
        <v>111</v>
      </c>
      <c r="J4" s="25" t="s">
        <v>112</v>
      </c>
      <c r="K4" s="25" t="s">
        <v>113</v>
      </c>
      <c r="L4" s="25" t="s">
        <v>114</v>
      </c>
      <c r="M4" s="25" t="s">
        <v>115</v>
      </c>
      <c r="N4" s="25" t="s">
        <v>116</v>
      </c>
    </row>
    <row r="5" customFormat="false" ht="15" hidden="false" customHeight="false" outlineLevel="0" collapsed="false">
      <c r="A5" s="23" t="s">
        <v>117</v>
      </c>
    </row>
    <row r="6" customFormat="false" ht="15" hidden="false" customHeight="false" outlineLevel="0" collapsed="false">
      <c r="A6" s="26" t="str">
        <f aca="false">Settings!A12</f>
        <v>Facials</v>
      </c>
      <c r="B6" s="27" t="n">
        <f aca="false">SUMIFS(Income!$E$6:$E$605,Income!$D$6:$D$605,$A6,Income!$J$6:$J$605,1,Income!$A$6:$A$605,"&gt;="&amp;DATE(Settings!$B$6,1,1),Income!$A$6:$A$605,"&lt;="&amp;DATE(Settings!$B$6,12,31))</f>
        <v>125</v>
      </c>
      <c r="C6" s="27" t="n">
        <f aca="false">SUMIFS(Income!$E$6:$E$605,Income!$D$6:$D$605,$A6,Income!$J$6:$J$605,2,Income!$A$6:$A$605,"&gt;="&amp;DATE(Settings!$B$6,1,1),Income!$A$6:$A$605,"&lt;="&amp;DATE(Settings!$B$6,12,31))</f>
        <v>0</v>
      </c>
      <c r="D6" s="27" t="n">
        <f aca="false">SUMIFS(Income!$E$6:$E$605,Income!$D$6:$D$605,$A6,Income!$J$6:$J$605,3,Income!$A$6:$A$605,"&gt;="&amp;DATE(Settings!$B$6,1,1),Income!$A$6:$A$605,"&lt;="&amp;DATE(Settings!$B$6,12,31))</f>
        <v>0</v>
      </c>
      <c r="E6" s="27" t="n">
        <f aca="false">SUMIFS(Income!$E$6:$E$605,Income!$D$6:$D$605,$A6,Income!$J$6:$J$605,4,Income!$A$6:$A$605,"&gt;="&amp;DATE(Settings!$B$6,1,1),Income!$A$6:$A$605,"&lt;="&amp;DATE(Settings!$B$6,12,31))</f>
        <v>0</v>
      </c>
      <c r="F6" s="27" t="n">
        <f aca="false">SUMIFS(Income!$E$6:$E$605,Income!$D$6:$D$605,$A6,Income!$J$6:$J$605,5,Income!$A$6:$A$605,"&gt;="&amp;DATE(Settings!$B$6,1,1),Income!$A$6:$A$605,"&lt;="&amp;DATE(Settings!$B$6,12,31))</f>
        <v>0</v>
      </c>
      <c r="G6" s="27" t="n">
        <f aca="false">SUMIFS(Income!$E$6:$E$605,Income!$D$6:$D$605,$A6,Income!$J$6:$J$605,6,Income!$A$6:$A$605,"&gt;="&amp;DATE(Settings!$B$6,1,1),Income!$A$6:$A$605,"&lt;="&amp;DATE(Settings!$B$6,12,31))</f>
        <v>0</v>
      </c>
      <c r="H6" s="27" t="n">
        <f aca="false">SUMIFS(Income!$E$6:$E$605,Income!$D$6:$D$605,$A6,Income!$J$6:$J$605,7,Income!$A$6:$A$605,"&gt;="&amp;DATE(Settings!$B$6,1,1),Income!$A$6:$A$605,"&lt;="&amp;DATE(Settings!$B$6,12,31))</f>
        <v>0</v>
      </c>
      <c r="I6" s="27" t="n">
        <f aca="false">SUMIFS(Income!$E$6:$E$605,Income!$D$6:$D$605,$A6,Income!$J$6:$J$605,8,Income!$A$6:$A$605,"&gt;="&amp;DATE(Settings!$B$6,1,1),Income!$A$6:$A$605,"&lt;="&amp;DATE(Settings!$B$6,12,31))</f>
        <v>0</v>
      </c>
      <c r="J6" s="27" t="n">
        <f aca="false">SUMIFS(Income!$E$6:$E$605,Income!$D$6:$D$605,$A6,Income!$J$6:$J$605,9,Income!$A$6:$A$605,"&gt;="&amp;DATE(Settings!$B$6,1,1),Income!$A$6:$A$605,"&lt;="&amp;DATE(Settings!$B$6,12,31))</f>
        <v>0</v>
      </c>
      <c r="K6" s="27" t="n">
        <f aca="false">SUMIFS(Income!$E$6:$E$605,Income!$D$6:$D$605,$A6,Income!$J$6:$J$605,10,Income!$A$6:$A$605,"&gt;="&amp;DATE(Settings!$B$6,1,1),Income!$A$6:$A$605,"&lt;="&amp;DATE(Settings!$B$6,12,31))</f>
        <v>0</v>
      </c>
      <c r="L6" s="27" t="n">
        <f aca="false">SUMIFS(Income!$E$6:$E$605,Income!$D$6:$D$605,$A6,Income!$J$6:$J$605,11,Income!$A$6:$A$605,"&gt;="&amp;DATE(Settings!$B$6,1,1),Income!$A$6:$A$605,"&lt;="&amp;DATE(Settings!$B$6,12,31))</f>
        <v>0</v>
      </c>
      <c r="M6" s="27" t="n">
        <f aca="false">SUMIFS(Income!$E$6:$E$605,Income!$D$6:$D$605,$A6,Income!$J$6:$J$605,12,Income!$A$6:$A$605,"&gt;="&amp;DATE(Settings!$B$6,1,1),Income!$A$6:$A$605,"&lt;="&amp;DATE(Settings!$B$6,12,31))</f>
        <v>0</v>
      </c>
      <c r="N6" s="28" t="n">
        <f aca="false">SUM(B6:M6)</f>
        <v>125</v>
      </c>
    </row>
    <row r="7" customFormat="false" ht="15" hidden="false" customHeight="false" outlineLevel="0" collapsed="false">
      <c r="A7" s="26" t="str">
        <f aca="false">Settings!A13</f>
        <v>Peels and advanced</v>
      </c>
      <c r="B7" s="27" t="n">
        <f aca="false">SUMIFS(Income!$E$6:$E$605,Income!$D$6:$D$605,$A7,Income!$J$6:$J$605,1,Income!$A$6:$A$605,"&gt;="&amp;DATE(Settings!$B$6,1,1),Income!$A$6:$A$605,"&lt;="&amp;DATE(Settings!$B$6,12,31))</f>
        <v>0</v>
      </c>
      <c r="C7" s="27" t="n">
        <f aca="false">SUMIFS(Income!$E$6:$E$605,Income!$D$6:$D$605,$A7,Income!$J$6:$J$605,2,Income!$A$6:$A$605,"&gt;="&amp;DATE(Settings!$B$6,1,1),Income!$A$6:$A$605,"&lt;="&amp;DATE(Settings!$B$6,12,31))</f>
        <v>0</v>
      </c>
      <c r="D7" s="27" t="n">
        <f aca="false">SUMIFS(Income!$E$6:$E$605,Income!$D$6:$D$605,$A7,Income!$J$6:$J$605,3,Income!$A$6:$A$605,"&gt;="&amp;DATE(Settings!$B$6,1,1),Income!$A$6:$A$605,"&lt;="&amp;DATE(Settings!$B$6,12,31))</f>
        <v>0</v>
      </c>
      <c r="E7" s="27" t="n">
        <f aca="false">SUMIFS(Income!$E$6:$E$605,Income!$D$6:$D$605,$A7,Income!$J$6:$J$605,4,Income!$A$6:$A$605,"&gt;="&amp;DATE(Settings!$B$6,1,1),Income!$A$6:$A$605,"&lt;="&amp;DATE(Settings!$B$6,12,31))</f>
        <v>0</v>
      </c>
      <c r="F7" s="27" t="n">
        <f aca="false">SUMIFS(Income!$E$6:$E$605,Income!$D$6:$D$605,$A7,Income!$J$6:$J$605,5,Income!$A$6:$A$605,"&gt;="&amp;DATE(Settings!$B$6,1,1),Income!$A$6:$A$605,"&lt;="&amp;DATE(Settings!$B$6,12,31))</f>
        <v>0</v>
      </c>
      <c r="G7" s="27" t="n">
        <f aca="false">SUMIFS(Income!$E$6:$E$605,Income!$D$6:$D$605,$A7,Income!$J$6:$J$605,6,Income!$A$6:$A$605,"&gt;="&amp;DATE(Settings!$B$6,1,1),Income!$A$6:$A$605,"&lt;="&amp;DATE(Settings!$B$6,12,31))</f>
        <v>0</v>
      </c>
      <c r="H7" s="27" t="n">
        <f aca="false">SUMIFS(Income!$E$6:$E$605,Income!$D$6:$D$605,$A7,Income!$J$6:$J$605,7,Income!$A$6:$A$605,"&gt;="&amp;DATE(Settings!$B$6,1,1),Income!$A$6:$A$605,"&lt;="&amp;DATE(Settings!$B$6,12,31))</f>
        <v>0</v>
      </c>
      <c r="I7" s="27" t="n">
        <f aca="false">SUMIFS(Income!$E$6:$E$605,Income!$D$6:$D$605,$A7,Income!$J$6:$J$605,8,Income!$A$6:$A$605,"&gt;="&amp;DATE(Settings!$B$6,1,1),Income!$A$6:$A$605,"&lt;="&amp;DATE(Settings!$B$6,12,31))</f>
        <v>0</v>
      </c>
      <c r="J7" s="27" t="n">
        <f aca="false">SUMIFS(Income!$E$6:$E$605,Income!$D$6:$D$605,$A7,Income!$J$6:$J$605,9,Income!$A$6:$A$605,"&gt;="&amp;DATE(Settings!$B$6,1,1),Income!$A$6:$A$605,"&lt;="&amp;DATE(Settings!$B$6,12,31))</f>
        <v>0</v>
      </c>
      <c r="K7" s="27" t="n">
        <f aca="false">SUMIFS(Income!$E$6:$E$605,Income!$D$6:$D$605,$A7,Income!$J$6:$J$605,10,Income!$A$6:$A$605,"&gt;="&amp;DATE(Settings!$B$6,1,1),Income!$A$6:$A$605,"&lt;="&amp;DATE(Settings!$B$6,12,31))</f>
        <v>0</v>
      </c>
      <c r="L7" s="27" t="n">
        <f aca="false">SUMIFS(Income!$E$6:$E$605,Income!$D$6:$D$605,$A7,Income!$J$6:$J$605,11,Income!$A$6:$A$605,"&gt;="&amp;DATE(Settings!$B$6,1,1),Income!$A$6:$A$605,"&lt;="&amp;DATE(Settings!$B$6,12,31))</f>
        <v>0</v>
      </c>
      <c r="M7" s="27" t="n">
        <f aca="false">SUMIFS(Income!$E$6:$E$605,Income!$D$6:$D$605,$A7,Income!$J$6:$J$605,12,Income!$A$6:$A$605,"&gt;="&amp;DATE(Settings!$B$6,1,1),Income!$A$6:$A$605,"&lt;="&amp;DATE(Settings!$B$6,12,31))</f>
        <v>0</v>
      </c>
      <c r="N7" s="28" t="n">
        <f aca="false">SUM(B7:M7)</f>
        <v>0</v>
      </c>
    </row>
    <row r="8" customFormat="false" ht="15" hidden="false" customHeight="false" outlineLevel="0" collapsed="false">
      <c r="A8" s="26" t="str">
        <f aca="false">Settings!A14</f>
        <v>Waxing</v>
      </c>
      <c r="B8" s="27" t="n">
        <f aca="false">SUMIFS(Income!$E$6:$E$605,Income!$D$6:$D$605,$A8,Income!$J$6:$J$605,1,Income!$A$6:$A$605,"&gt;="&amp;DATE(Settings!$B$6,1,1),Income!$A$6:$A$605,"&lt;="&amp;DATE(Settings!$B$6,12,31))</f>
        <v>0</v>
      </c>
      <c r="C8" s="27" t="n">
        <f aca="false">SUMIFS(Income!$E$6:$E$605,Income!$D$6:$D$605,$A8,Income!$J$6:$J$605,2,Income!$A$6:$A$605,"&gt;="&amp;DATE(Settings!$B$6,1,1),Income!$A$6:$A$605,"&lt;="&amp;DATE(Settings!$B$6,12,31))</f>
        <v>0</v>
      </c>
      <c r="D8" s="27" t="n">
        <f aca="false">SUMIFS(Income!$E$6:$E$605,Income!$D$6:$D$605,$A8,Income!$J$6:$J$605,3,Income!$A$6:$A$605,"&gt;="&amp;DATE(Settings!$B$6,1,1),Income!$A$6:$A$605,"&lt;="&amp;DATE(Settings!$B$6,12,31))</f>
        <v>0</v>
      </c>
      <c r="E8" s="27" t="n">
        <f aca="false">SUMIFS(Income!$E$6:$E$605,Income!$D$6:$D$605,$A8,Income!$J$6:$J$605,4,Income!$A$6:$A$605,"&gt;="&amp;DATE(Settings!$B$6,1,1),Income!$A$6:$A$605,"&lt;="&amp;DATE(Settings!$B$6,12,31))</f>
        <v>0</v>
      </c>
      <c r="F8" s="27" t="n">
        <f aca="false">SUMIFS(Income!$E$6:$E$605,Income!$D$6:$D$605,$A8,Income!$J$6:$J$605,5,Income!$A$6:$A$605,"&gt;="&amp;DATE(Settings!$B$6,1,1),Income!$A$6:$A$605,"&lt;="&amp;DATE(Settings!$B$6,12,31))</f>
        <v>0</v>
      </c>
      <c r="G8" s="27" t="n">
        <f aca="false">SUMIFS(Income!$E$6:$E$605,Income!$D$6:$D$605,$A8,Income!$J$6:$J$605,6,Income!$A$6:$A$605,"&gt;="&amp;DATE(Settings!$B$6,1,1),Income!$A$6:$A$605,"&lt;="&amp;DATE(Settings!$B$6,12,31))</f>
        <v>0</v>
      </c>
      <c r="H8" s="27" t="n">
        <f aca="false">SUMIFS(Income!$E$6:$E$605,Income!$D$6:$D$605,$A8,Income!$J$6:$J$605,7,Income!$A$6:$A$605,"&gt;="&amp;DATE(Settings!$B$6,1,1),Income!$A$6:$A$605,"&lt;="&amp;DATE(Settings!$B$6,12,31))</f>
        <v>0</v>
      </c>
      <c r="I8" s="27" t="n">
        <f aca="false">SUMIFS(Income!$E$6:$E$605,Income!$D$6:$D$605,$A8,Income!$J$6:$J$605,8,Income!$A$6:$A$605,"&gt;="&amp;DATE(Settings!$B$6,1,1),Income!$A$6:$A$605,"&lt;="&amp;DATE(Settings!$B$6,12,31))</f>
        <v>0</v>
      </c>
      <c r="J8" s="27" t="n">
        <f aca="false">SUMIFS(Income!$E$6:$E$605,Income!$D$6:$D$605,$A8,Income!$J$6:$J$605,9,Income!$A$6:$A$605,"&gt;="&amp;DATE(Settings!$B$6,1,1),Income!$A$6:$A$605,"&lt;="&amp;DATE(Settings!$B$6,12,31))</f>
        <v>0</v>
      </c>
      <c r="K8" s="27" t="n">
        <f aca="false">SUMIFS(Income!$E$6:$E$605,Income!$D$6:$D$605,$A8,Income!$J$6:$J$605,10,Income!$A$6:$A$605,"&gt;="&amp;DATE(Settings!$B$6,1,1),Income!$A$6:$A$605,"&lt;="&amp;DATE(Settings!$B$6,12,31))</f>
        <v>0</v>
      </c>
      <c r="L8" s="27" t="n">
        <f aca="false">SUMIFS(Income!$E$6:$E$605,Income!$D$6:$D$605,$A8,Income!$J$6:$J$605,11,Income!$A$6:$A$605,"&gt;="&amp;DATE(Settings!$B$6,1,1),Income!$A$6:$A$605,"&lt;="&amp;DATE(Settings!$B$6,12,31))</f>
        <v>0</v>
      </c>
      <c r="M8" s="27" t="n">
        <f aca="false">SUMIFS(Income!$E$6:$E$605,Income!$D$6:$D$605,$A8,Income!$J$6:$J$605,12,Income!$A$6:$A$605,"&gt;="&amp;DATE(Settings!$B$6,1,1),Income!$A$6:$A$605,"&lt;="&amp;DATE(Settings!$B$6,12,31))</f>
        <v>0</v>
      </c>
      <c r="N8" s="28" t="n">
        <f aca="false">SUM(B8:M8)</f>
        <v>0</v>
      </c>
    </row>
    <row r="9" customFormat="false" ht="15" hidden="false" customHeight="false" outlineLevel="0" collapsed="false">
      <c r="A9" s="26" t="str">
        <f aca="false">Settings!A15</f>
        <v>Lash and brow</v>
      </c>
      <c r="B9" s="27" t="n">
        <f aca="false">SUMIFS(Income!$E$6:$E$605,Income!$D$6:$D$605,$A9,Income!$J$6:$J$605,1,Income!$A$6:$A$605,"&gt;="&amp;DATE(Settings!$B$6,1,1),Income!$A$6:$A$605,"&lt;="&amp;DATE(Settings!$B$6,12,31))</f>
        <v>0</v>
      </c>
      <c r="C9" s="27" t="n">
        <f aca="false">SUMIFS(Income!$E$6:$E$605,Income!$D$6:$D$605,$A9,Income!$J$6:$J$605,2,Income!$A$6:$A$605,"&gt;="&amp;DATE(Settings!$B$6,1,1),Income!$A$6:$A$605,"&lt;="&amp;DATE(Settings!$B$6,12,31))</f>
        <v>0</v>
      </c>
      <c r="D9" s="27" t="n">
        <f aca="false">SUMIFS(Income!$E$6:$E$605,Income!$D$6:$D$605,$A9,Income!$J$6:$J$605,3,Income!$A$6:$A$605,"&gt;="&amp;DATE(Settings!$B$6,1,1),Income!$A$6:$A$605,"&lt;="&amp;DATE(Settings!$B$6,12,31))</f>
        <v>0</v>
      </c>
      <c r="E9" s="27" t="n">
        <f aca="false">SUMIFS(Income!$E$6:$E$605,Income!$D$6:$D$605,$A9,Income!$J$6:$J$605,4,Income!$A$6:$A$605,"&gt;="&amp;DATE(Settings!$B$6,1,1),Income!$A$6:$A$605,"&lt;="&amp;DATE(Settings!$B$6,12,31))</f>
        <v>0</v>
      </c>
      <c r="F9" s="27" t="n">
        <f aca="false">SUMIFS(Income!$E$6:$E$605,Income!$D$6:$D$605,$A9,Income!$J$6:$J$605,5,Income!$A$6:$A$605,"&gt;="&amp;DATE(Settings!$B$6,1,1),Income!$A$6:$A$605,"&lt;="&amp;DATE(Settings!$B$6,12,31))</f>
        <v>0</v>
      </c>
      <c r="G9" s="27" t="n">
        <f aca="false">SUMIFS(Income!$E$6:$E$605,Income!$D$6:$D$605,$A9,Income!$J$6:$J$605,6,Income!$A$6:$A$605,"&gt;="&amp;DATE(Settings!$B$6,1,1),Income!$A$6:$A$605,"&lt;="&amp;DATE(Settings!$B$6,12,31))</f>
        <v>0</v>
      </c>
      <c r="H9" s="27" t="n">
        <f aca="false">SUMIFS(Income!$E$6:$E$605,Income!$D$6:$D$605,$A9,Income!$J$6:$J$605,7,Income!$A$6:$A$605,"&gt;="&amp;DATE(Settings!$B$6,1,1),Income!$A$6:$A$605,"&lt;="&amp;DATE(Settings!$B$6,12,31))</f>
        <v>0</v>
      </c>
      <c r="I9" s="27" t="n">
        <f aca="false">SUMIFS(Income!$E$6:$E$605,Income!$D$6:$D$605,$A9,Income!$J$6:$J$605,8,Income!$A$6:$A$605,"&gt;="&amp;DATE(Settings!$B$6,1,1),Income!$A$6:$A$605,"&lt;="&amp;DATE(Settings!$B$6,12,31))</f>
        <v>0</v>
      </c>
      <c r="J9" s="27" t="n">
        <f aca="false">SUMIFS(Income!$E$6:$E$605,Income!$D$6:$D$605,$A9,Income!$J$6:$J$605,9,Income!$A$6:$A$605,"&gt;="&amp;DATE(Settings!$B$6,1,1),Income!$A$6:$A$605,"&lt;="&amp;DATE(Settings!$B$6,12,31))</f>
        <v>0</v>
      </c>
      <c r="K9" s="27" t="n">
        <f aca="false">SUMIFS(Income!$E$6:$E$605,Income!$D$6:$D$605,$A9,Income!$J$6:$J$605,10,Income!$A$6:$A$605,"&gt;="&amp;DATE(Settings!$B$6,1,1),Income!$A$6:$A$605,"&lt;="&amp;DATE(Settings!$B$6,12,31))</f>
        <v>0</v>
      </c>
      <c r="L9" s="27" t="n">
        <f aca="false">SUMIFS(Income!$E$6:$E$605,Income!$D$6:$D$605,$A9,Income!$J$6:$J$605,11,Income!$A$6:$A$605,"&gt;="&amp;DATE(Settings!$B$6,1,1),Income!$A$6:$A$605,"&lt;="&amp;DATE(Settings!$B$6,12,31))</f>
        <v>0</v>
      </c>
      <c r="M9" s="27" t="n">
        <f aca="false">SUMIFS(Income!$E$6:$E$605,Income!$D$6:$D$605,$A9,Income!$J$6:$J$605,12,Income!$A$6:$A$605,"&gt;="&amp;DATE(Settings!$B$6,1,1),Income!$A$6:$A$605,"&lt;="&amp;DATE(Settings!$B$6,12,31))</f>
        <v>0</v>
      </c>
      <c r="N9" s="28" t="n">
        <f aca="false">SUM(B9:M9)</f>
        <v>0</v>
      </c>
    </row>
    <row r="10" customFormat="false" ht="15" hidden="false" customHeight="false" outlineLevel="0" collapsed="false">
      <c r="A10" s="26" t="str">
        <f aca="false">Settings!A16</f>
        <v>Memberships</v>
      </c>
      <c r="B10" s="27" t="n">
        <f aca="false">SUMIFS(Income!$E$6:$E$605,Income!$D$6:$D$605,$A10,Income!$J$6:$J$605,1,Income!$A$6:$A$605,"&gt;="&amp;DATE(Settings!$B$6,1,1),Income!$A$6:$A$605,"&lt;="&amp;DATE(Settings!$B$6,12,31))</f>
        <v>0</v>
      </c>
      <c r="C10" s="27" t="n">
        <f aca="false">SUMIFS(Income!$E$6:$E$605,Income!$D$6:$D$605,$A10,Income!$J$6:$J$605,2,Income!$A$6:$A$605,"&gt;="&amp;DATE(Settings!$B$6,1,1),Income!$A$6:$A$605,"&lt;="&amp;DATE(Settings!$B$6,12,31))</f>
        <v>0</v>
      </c>
      <c r="D10" s="27" t="n">
        <f aca="false">SUMIFS(Income!$E$6:$E$605,Income!$D$6:$D$605,$A10,Income!$J$6:$J$605,3,Income!$A$6:$A$605,"&gt;="&amp;DATE(Settings!$B$6,1,1),Income!$A$6:$A$605,"&lt;="&amp;DATE(Settings!$B$6,12,31))</f>
        <v>0</v>
      </c>
      <c r="E10" s="27" t="n">
        <f aca="false">SUMIFS(Income!$E$6:$E$605,Income!$D$6:$D$605,$A10,Income!$J$6:$J$605,4,Income!$A$6:$A$605,"&gt;="&amp;DATE(Settings!$B$6,1,1),Income!$A$6:$A$605,"&lt;="&amp;DATE(Settings!$B$6,12,31))</f>
        <v>0</v>
      </c>
      <c r="F10" s="27" t="n">
        <f aca="false">SUMIFS(Income!$E$6:$E$605,Income!$D$6:$D$605,$A10,Income!$J$6:$J$605,5,Income!$A$6:$A$605,"&gt;="&amp;DATE(Settings!$B$6,1,1),Income!$A$6:$A$605,"&lt;="&amp;DATE(Settings!$B$6,12,31))</f>
        <v>0</v>
      </c>
      <c r="G10" s="27" t="n">
        <f aca="false">SUMIFS(Income!$E$6:$E$605,Income!$D$6:$D$605,$A10,Income!$J$6:$J$605,6,Income!$A$6:$A$605,"&gt;="&amp;DATE(Settings!$B$6,1,1),Income!$A$6:$A$605,"&lt;="&amp;DATE(Settings!$B$6,12,31))</f>
        <v>0</v>
      </c>
      <c r="H10" s="27" t="n">
        <f aca="false">SUMIFS(Income!$E$6:$E$605,Income!$D$6:$D$605,$A10,Income!$J$6:$J$605,7,Income!$A$6:$A$605,"&gt;="&amp;DATE(Settings!$B$6,1,1),Income!$A$6:$A$605,"&lt;="&amp;DATE(Settings!$B$6,12,31))</f>
        <v>0</v>
      </c>
      <c r="I10" s="27" t="n">
        <f aca="false">SUMIFS(Income!$E$6:$E$605,Income!$D$6:$D$605,$A10,Income!$J$6:$J$605,8,Income!$A$6:$A$605,"&gt;="&amp;DATE(Settings!$B$6,1,1),Income!$A$6:$A$605,"&lt;="&amp;DATE(Settings!$B$6,12,31))</f>
        <v>0</v>
      </c>
      <c r="J10" s="27" t="n">
        <f aca="false">SUMIFS(Income!$E$6:$E$605,Income!$D$6:$D$605,$A10,Income!$J$6:$J$605,9,Income!$A$6:$A$605,"&gt;="&amp;DATE(Settings!$B$6,1,1),Income!$A$6:$A$605,"&lt;="&amp;DATE(Settings!$B$6,12,31))</f>
        <v>0</v>
      </c>
      <c r="K10" s="27" t="n">
        <f aca="false">SUMIFS(Income!$E$6:$E$605,Income!$D$6:$D$605,$A10,Income!$J$6:$J$605,10,Income!$A$6:$A$605,"&gt;="&amp;DATE(Settings!$B$6,1,1),Income!$A$6:$A$605,"&lt;="&amp;DATE(Settings!$B$6,12,31))</f>
        <v>0</v>
      </c>
      <c r="L10" s="27" t="n">
        <f aca="false">SUMIFS(Income!$E$6:$E$605,Income!$D$6:$D$605,$A10,Income!$J$6:$J$605,11,Income!$A$6:$A$605,"&gt;="&amp;DATE(Settings!$B$6,1,1),Income!$A$6:$A$605,"&lt;="&amp;DATE(Settings!$B$6,12,31))</f>
        <v>0</v>
      </c>
      <c r="M10" s="27" t="n">
        <f aca="false">SUMIFS(Income!$E$6:$E$605,Income!$D$6:$D$605,$A10,Income!$J$6:$J$605,12,Income!$A$6:$A$605,"&gt;="&amp;DATE(Settings!$B$6,1,1),Income!$A$6:$A$605,"&lt;="&amp;DATE(Settings!$B$6,12,31))</f>
        <v>0</v>
      </c>
      <c r="N10" s="28" t="n">
        <f aca="false">SUM(B10:M10)</f>
        <v>0</v>
      </c>
    </row>
    <row r="11" customFormat="false" ht="15" hidden="false" customHeight="false" outlineLevel="0" collapsed="false">
      <c r="A11" s="26" t="str">
        <f aca="false">Settings!A17</f>
        <v>Products</v>
      </c>
      <c r="B11" s="27" t="n">
        <f aca="false">SUMIFS(Income!$E$6:$E$605,Income!$D$6:$D$605,$A11,Income!$J$6:$J$605,1,Income!$A$6:$A$605,"&gt;="&amp;DATE(Settings!$B$6,1,1),Income!$A$6:$A$605,"&lt;="&amp;DATE(Settings!$B$6,12,31))</f>
        <v>0</v>
      </c>
      <c r="C11" s="27" t="n">
        <f aca="false">SUMIFS(Income!$E$6:$E$605,Income!$D$6:$D$605,$A11,Income!$J$6:$J$605,2,Income!$A$6:$A$605,"&gt;="&amp;DATE(Settings!$B$6,1,1),Income!$A$6:$A$605,"&lt;="&amp;DATE(Settings!$B$6,12,31))</f>
        <v>0</v>
      </c>
      <c r="D11" s="27" t="n">
        <f aca="false">SUMIFS(Income!$E$6:$E$605,Income!$D$6:$D$605,$A11,Income!$J$6:$J$605,3,Income!$A$6:$A$605,"&gt;="&amp;DATE(Settings!$B$6,1,1),Income!$A$6:$A$605,"&lt;="&amp;DATE(Settings!$B$6,12,31))</f>
        <v>0</v>
      </c>
      <c r="E11" s="27" t="n">
        <f aca="false">SUMIFS(Income!$E$6:$E$605,Income!$D$6:$D$605,$A11,Income!$J$6:$J$605,4,Income!$A$6:$A$605,"&gt;="&amp;DATE(Settings!$B$6,1,1),Income!$A$6:$A$605,"&lt;="&amp;DATE(Settings!$B$6,12,31))</f>
        <v>0</v>
      </c>
      <c r="F11" s="27" t="n">
        <f aca="false">SUMIFS(Income!$E$6:$E$605,Income!$D$6:$D$605,$A11,Income!$J$6:$J$605,5,Income!$A$6:$A$605,"&gt;="&amp;DATE(Settings!$B$6,1,1),Income!$A$6:$A$605,"&lt;="&amp;DATE(Settings!$B$6,12,31))</f>
        <v>0</v>
      </c>
      <c r="G11" s="27" t="n">
        <f aca="false">SUMIFS(Income!$E$6:$E$605,Income!$D$6:$D$605,$A11,Income!$J$6:$J$605,6,Income!$A$6:$A$605,"&gt;="&amp;DATE(Settings!$B$6,1,1),Income!$A$6:$A$605,"&lt;="&amp;DATE(Settings!$B$6,12,31))</f>
        <v>0</v>
      </c>
      <c r="H11" s="27" t="n">
        <f aca="false">SUMIFS(Income!$E$6:$E$605,Income!$D$6:$D$605,$A11,Income!$J$6:$J$605,7,Income!$A$6:$A$605,"&gt;="&amp;DATE(Settings!$B$6,1,1),Income!$A$6:$A$605,"&lt;="&amp;DATE(Settings!$B$6,12,31))</f>
        <v>0</v>
      </c>
      <c r="I11" s="27" t="n">
        <f aca="false">SUMIFS(Income!$E$6:$E$605,Income!$D$6:$D$605,$A11,Income!$J$6:$J$605,8,Income!$A$6:$A$605,"&gt;="&amp;DATE(Settings!$B$6,1,1),Income!$A$6:$A$605,"&lt;="&amp;DATE(Settings!$B$6,12,31))</f>
        <v>0</v>
      </c>
      <c r="J11" s="27" t="n">
        <f aca="false">SUMIFS(Income!$E$6:$E$605,Income!$D$6:$D$605,$A11,Income!$J$6:$J$605,9,Income!$A$6:$A$605,"&gt;="&amp;DATE(Settings!$B$6,1,1),Income!$A$6:$A$605,"&lt;="&amp;DATE(Settings!$B$6,12,31))</f>
        <v>0</v>
      </c>
      <c r="K11" s="27" t="n">
        <f aca="false">SUMIFS(Income!$E$6:$E$605,Income!$D$6:$D$605,$A11,Income!$J$6:$J$605,10,Income!$A$6:$A$605,"&gt;="&amp;DATE(Settings!$B$6,1,1),Income!$A$6:$A$605,"&lt;="&amp;DATE(Settings!$B$6,12,31))</f>
        <v>0</v>
      </c>
      <c r="L11" s="27" t="n">
        <f aca="false">SUMIFS(Income!$E$6:$E$605,Income!$D$6:$D$605,$A11,Income!$J$6:$J$605,11,Income!$A$6:$A$605,"&gt;="&amp;DATE(Settings!$B$6,1,1),Income!$A$6:$A$605,"&lt;="&amp;DATE(Settings!$B$6,12,31))</f>
        <v>0</v>
      </c>
      <c r="M11" s="27" t="n">
        <f aca="false">SUMIFS(Income!$E$6:$E$605,Income!$D$6:$D$605,$A11,Income!$J$6:$J$605,12,Income!$A$6:$A$605,"&gt;="&amp;DATE(Settings!$B$6,1,1),Income!$A$6:$A$605,"&lt;="&amp;DATE(Settings!$B$6,12,31))</f>
        <v>0</v>
      </c>
      <c r="N11" s="28" t="n">
        <f aca="false">SUM(B11:M11)</f>
        <v>0</v>
      </c>
    </row>
    <row r="12" customFormat="false" ht="15" hidden="false" customHeight="false" outlineLevel="0" collapsed="false">
      <c r="A12" s="26" t="str">
        <f aca="false">Settings!A18</f>
        <v>Gift cards sold</v>
      </c>
      <c r="B12" s="27" t="n">
        <f aca="false">SUMIFS(Income!$E$6:$E$605,Income!$D$6:$D$605,$A12,Income!$J$6:$J$605,1,Income!$A$6:$A$605,"&gt;="&amp;DATE(Settings!$B$6,1,1),Income!$A$6:$A$605,"&lt;="&amp;DATE(Settings!$B$6,12,31))</f>
        <v>0</v>
      </c>
      <c r="C12" s="27" t="n">
        <f aca="false">SUMIFS(Income!$E$6:$E$605,Income!$D$6:$D$605,$A12,Income!$J$6:$J$605,2,Income!$A$6:$A$605,"&gt;="&amp;DATE(Settings!$B$6,1,1),Income!$A$6:$A$605,"&lt;="&amp;DATE(Settings!$B$6,12,31))</f>
        <v>0</v>
      </c>
      <c r="D12" s="27" t="n">
        <f aca="false">SUMIFS(Income!$E$6:$E$605,Income!$D$6:$D$605,$A12,Income!$J$6:$J$605,3,Income!$A$6:$A$605,"&gt;="&amp;DATE(Settings!$B$6,1,1),Income!$A$6:$A$605,"&lt;="&amp;DATE(Settings!$B$6,12,31))</f>
        <v>0</v>
      </c>
      <c r="E12" s="27" t="n">
        <f aca="false">SUMIFS(Income!$E$6:$E$605,Income!$D$6:$D$605,$A12,Income!$J$6:$J$605,4,Income!$A$6:$A$605,"&gt;="&amp;DATE(Settings!$B$6,1,1),Income!$A$6:$A$605,"&lt;="&amp;DATE(Settings!$B$6,12,31))</f>
        <v>0</v>
      </c>
      <c r="F12" s="27" t="n">
        <f aca="false">SUMIFS(Income!$E$6:$E$605,Income!$D$6:$D$605,$A12,Income!$J$6:$J$605,5,Income!$A$6:$A$605,"&gt;="&amp;DATE(Settings!$B$6,1,1),Income!$A$6:$A$605,"&lt;="&amp;DATE(Settings!$B$6,12,31))</f>
        <v>0</v>
      </c>
      <c r="G12" s="27" t="n">
        <f aca="false">SUMIFS(Income!$E$6:$E$605,Income!$D$6:$D$605,$A12,Income!$J$6:$J$605,6,Income!$A$6:$A$605,"&gt;="&amp;DATE(Settings!$B$6,1,1),Income!$A$6:$A$605,"&lt;="&amp;DATE(Settings!$B$6,12,31))</f>
        <v>0</v>
      </c>
      <c r="H12" s="27" t="n">
        <f aca="false">SUMIFS(Income!$E$6:$E$605,Income!$D$6:$D$605,$A12,Income!$J$6:$J$605,7,Income!$A$6:$A$605,"&gt;="&amp;DATE(Settings!$B$6,1,1),Income!$A$6:$A$605,"&lt;="&amp;DATE(Settings!$B$6,12,31))</f>
        <v>0</v>
      </c>
      <c r="I12" s="27" t="n">
        <f aca="false">SUMIFS(Income!$E$6:$E$605,Income!$D$6:$D$605,$A12,Income!$J$6:$J$605,8,Income!$A$6:$A$605,"&gt;="&amp;DATE(Settings!$B$6,1,1),Income!$A$6:$A$605,"&lt;="&amp;DATE(Settings!$B$6,12,31))</f>
        <v>0</v>
      </c>
      <c r="J12" s="27" t="n">
        <f aca="false">SUMIFS(Income!$E$6:$E$605,Income!$D$6:$D$605,$A12,Income!$J$6:$J$605,9,Income!$A$6:$A$605,"&gt;="&amp;DATE(Settings!$B$6,1,1),Income!$A$6:$A$605,"&lt;="&amp;DATE(Settings!$B$6,12,31))</f>
        <v>0</v>
      </c>
      <c r="K12" s="27" t="n">
        <f aca="false">SUMIFS(Income!$E$6:$E$605,Income!$D$6:$D$605,$A12,Income!$J$6:$J$605,10,Income!$A$6:$A$605,"&gt;="&amp;DATE(Settings!$B$6,1,1),Income!$A$6:$A$605,"&lt;="&amp;DATE(Settings!$B$6,12,31))</f>
        <v>0</v>
      </c>
      <c r="L12" s="27" t="n">
        <f aca="false">SUMIFS(Income!$E$6:$E$605,Income!$D$6:$D$605,$A12,Income!$J$6:$J$605,11,Income!$A$6:$A$605,"&gt;="&amp;DATE(Settings!$B$6,1,1),Income!$A$6:$A$605,"&lt;="&amp;DATE(Settings!$B$6,12,31))</f>
        <v>0</v>
      </c>
      <c r="M12" s="27" t="n">
        <f aca="false">SUMIFS(Income!$E$6:$E$605,Income!$D$6:$D$605,$A12,Income!$J$6:$J$605,12,Income!$A$6:$A$605,"&gt;="&amp;DATE(Settings!$B$6,1,1),Income!$A$6:$A$605,"&lt;="&amp;DATE(Settings!$B$6,12,31))</f>
        <v>0</v>
      </c>
      <c r="N12" s="28" t="n">
        <f aca="false">SUM(B12:M12)</f>
        <v>0</v>
      </c>
    </row>
    <row r="13" customFormat="false" ht="15" hidden="false" customHeight="false" outlineLevel="0" collapsed="false">
      <c r="A13" s="26" t="str">
        <f aca="false">Settings!A19</f>
        <v>Other services</v>
      </c>
      <c r="B13" s="27" t="n">
        <f aca="false">SUMIFS(Income!$E$6:$E$605,Income!$D$6:$D$605,$A13,Income!$J$6:$J$605,1,Income!$A$6:$A$605,"&gt;="&amp;DATE(Settings!$B$6,1,1),Income!$A$6:$A$605,"&lt;="&amp;DATE(Settings!$B$6,12,31))</f>
        <v>0</v>
      </c>
      <c r="C13" s="27" t="n">
        <f aca="false">SUMIFS(Income!$E$6:$E$605,Income!$D$6:$D$605,$A13,Income!$J$6:$J$605,2,Income!$A$6:$A$605,"&gt;="&amp;DATE(Settings!$B$6,1,1),Income!$A$6:$A$605,"&lt;="&amp;DATE(Settings!$B$6,12,31))</f>
        <v>0</v>
      </c>
      <c r="D13" s="27" t="n">
        <f aca="false">SUMIFS(Income!$E$6:$E$605,Income!$D$6:$D$605,$A13,Income!$J$6:$J$605,3,Income!$A$6:$A$605,"&gt;="&amp;DATE(Settings!$B$6,1,1),Income!$A$6:$A$605,"&lt;="&amp;DATE(Settings!$B$6,12,31))</f>
        <v>0</v>
      </c>
      <c r="E13" s="27" t="n">
        <f aca="false">SUMIFS(Income!$E$6:$E$605,Income!$D$6:$D$605,$A13,Income!$J$6:$J$605,4,Income!$A$6:$A$605,"&gt;="&amp;DATE(Settings!$B$6,1,1),Income!$A$6:$A$605,"&lt;="&amp;DATE(Settings!$B$6,12,31))</f>
        <v>0</v>
      </c>
      <c r="F13" s="27" t="n">
        <f aca="false">SUMIFS(Income!$E$6:$E$605,Income!$D$6:$D$605,$A13,Income!$J$6:$J$605,5,Income!$A$6:$A$605,"&gt;="&amp;DATE(Settings!$B$6,1,1),Income!$A$6:$A$605,"&lt;="&amp;DATE(Settings!$B$6,12,31))</f>
        <v>0</v>
      </c>
      <c r="G13" s="27" t="n">
        <f aca="false">SUMIFS(Income!$E$6:$E$605,Income!$D$6:$D$605,$A13,Income!$J$6:$J$605,6,Income!$A$6:$A$605,"&gt;="&amp;DATE(Settings!$B$6,1,1),Income!$A$6:$A$605,"&lt;="&amp;DATE(Settings!$B$6,12,31))</f>
        <v>0</v>
      </c>
      <c r="H13" s="27" t="n">
        <f aca="false">SUMIFS(Income!$E$6:$E$605,Income!$D$6:$D$605,$A13,Income!$J$6:$J$605,7,Income!$A$6:$A$605,"&gt;="&amp;DATE(Settings!$B$6,1,1),Income!$A$6:$A$605,"&lt;="&amp;DATE(Settings!$B$6,12,31))</f>
        <v>0</v>
      </c>
      <c r="I13" s="27" t="n">
        <f aca="false">SUMIFS(Income!$E$6:$E$605,Income!$D$6:$D$605,$A13,Income!$J$6:$J$605,8,Income!$A$6:$A$605,"&gt;="&amp;DATE(Settings!$B$6,1,1),Income!$A$6:$A$605,"&lt;="&amp;DATE(Settings!$B$6,12,31))</f>
        <v>0</v>
      </c>
      <c r="J13" s="27" t="n">
        <f aca="false">SUMIFS(Income!$E$6:$E$605,Income!$D$6:$D$605,$A13,Income!$J$6:$J$605,9,Income!$A$6:$A$605,"&gt;="&amp;DATE(Settings!$B$6,1,1),Income!$A$6:$A$605,"&lt;="&amp;DATE(Settings!$B$6,12,31))</f>
        <v>0</v>
      </c>
      <c r="K13" s="27" t="n">
        <f aca="false">SUMIFS(Income!$E$6:$E$605,Income!$D$6:$D$605,$A13,Income!$J$6:$J$605,10,Income!$A$6:$A$605,"&gt;="&amp;DATE(Settings!$B$6,1,1),Income!$A$6:$A$605,"&lt;="&amp;DATE(Settings!$B$6,12,31))</f>
        <v>0</v>
      </c>
      <c r="L13" s="27" t="n">
        <f aca="false">SUMIFS(Income!$E$6:$E$605,Income!$D$6:$D$605,$A13,Income!$J$6:$J$605,11,Income!$A$6:$A$605,"&gt;="&amp;DATE(Settings!$B$6,1,1),Income!$A$6:$A$605,"&lt;="&amp;DATE(Settings!$B$6,12,31))</f>
        <v>0</v>
      </c>
      <c r="M13" s="27" t="n">
        <f aca="false">SUMIFS(Income!$E$6:$E$605,Income!$D$6:$D$605,$A13,Income!$J$6:$J$605,12,Income!$A$6:$A$605,"&gt;="&amp;DATE(Settings!$B$6,1,1),Income!$A$6:$A$605,"&lt;="&amp;DATE(Settings!$B$6,12,31))</f>
        <v>0</v>
      </c>
      <c r="N13" s="28" t="n">
        <f aca="false">SUM(B13:M13)</f>
        <v>0</v>
      </c>
    </row>
    <row r="14" customFormat="false" ht="15" hidden="false" customHeight="false" outlineLevel="0" collapsed="false">
      <c r="A14" s="12" t="s">
        <v>118</v>
      </c>
      <c r="B14" s="27" t="n">
        <f aca="false">SUMIFS(Income!$F$6:$F$605,Income!$J$6:$J$605,1,Income!$A$6:$A$605,"&gt;="&amp;DATE(Settings!$B$6,1,1),Income!$A$6:$A$605,"&lt;="&amp;DATE(Settings!$B$6,12,31))</f>
        <v>20</v>
      </c>
      <c r="C14" s="27" t="n">
        <f aca="false">SUMIFS(Income!$F$6:$F$605,Income!$J$6:$J$605,2,Income!$A$6:$A$605,"&gt;="&amp;DATE(Settings!$B$6,1,1),Income!$A$6:$A$605,"&lt;="&amp;DATE(Settings!$B$6,12,31))</f>
        <v>0</v>
      </c>
      <c r="D14" s="27" t="n">
        <f aca="false">SUMIFS(Income!$F$6:$F$605,Income!$J$6:$J$605,3,Income!$A$6:$A$605,"&gt;="&amp;DATE(Settings!$B$6,1,1),Income!$A$6:$A$605,"&lt;="&amp;DATE(Settings!$B$6,12,31))</f>
        <v>0</v>
      </c>
      <c r="E14" s="27" t="n">
        <f aca="false">SUMIFS(Income!$F$6:$F$605,Income!$J$6:$J$605,4,Income!$A$6:$A$605,"&gt;="&amp;DATE(Settings!$B$6,1,1),Income!$A$6:$A$605,"&lt;="&amp;DATE(Settings!$B$6,12,31))</f>
        <v>0</v>
      </c>
      <c r="F14" s="27" t="n">
        <f aca="false">SUMIFS(Income!$F$6:$F$605,Income!$J$6:$J$605,5,Income!$A$6:$A$605,"&gt;="&amp;DATE(Settings!$B$6,1,1),Income!$A$6:$A$605,"&lt;="&amp;DATE(Settings!$B$6,12,31))</f>
        <v>0</v>
      </c>
      <c r="G14" s="27" t="n">
        <f aca="false">SUMIFS(Income!$F$6:$F$605,Income!$J$6:$J$605,6,Income!$A$6:$A$605,"&gt;="&amp;DATE(Settings!$B$6,1,1),Income!$A$6:$A$605,"&lt;="&amp;DATE(Settings!$B$6,12,31))</f>
        <v>0</v>
      </c>
      <c r="H14" s="27" t="n">
        <f aca="false">SUMIFS(Income!$F$6:$F$605,Income!$J$6:$J$605,7,Income!$A$6:$A$605,"&gt;="&amp;DATE(Settings!$B$6,1,1),Income!$A$6:$A$605,"&lt;="&amp;DATE(Settings!$B$6,12,31))</f>
        <v>0</v>
      </c>
      <c r="I14" s="27" t="n">
        <f aca="false">SUMIFS(Income!$F$6:$F$605,Income!$J$6:$J$605,8,Income!$A$6:$A$605,"&gt;="&amp;DATE(Settings!$B$6,1,1),Income!$A$6:$A$605,"&lt;="&amp;DATE(Settings!$B$6,12,31))</f>
        <v>0</v>
      </c>
      <c r="J14" s="27" t="n">
        <f aca="false">SUMIFS(Income!$F$6:$F$605,Income!$J$6:$J$605,9,Income!$A$6:$A$605,"&gt;="&amp;DATE(Settings!$B$6,1,1),Income!$A$6:$A$605,"&lt;="&amp;DATE(Settings!$B$6,12,31))</f>
        <v>0</v>
      </c>
      <c r="K14" s="27" t="n">
        <f aca="false">SUMIFS(Income!$F$6:$F$605,Income!$J$6:$J$605,10,Income!$A$6:$A$605,"&gt;="&amp;DATE(Settings!$B$6,1,1),Income!$A$6:$A$605,"&lt;="&amp;DATE(Settings!$B$6,12,31))</f>
        <v>0</v>
      </c>
      <c r="L14" s="27" t="n">
        <f aca="false">SUMIFS(Income!$F$6:$F$605,Income!$J$6:$J$605,11,Income!$A$6:$A$605,"&gt;="&amp;DATE(Settings!$B$6,1,1),Income!$A$6:$A$605,"&lt;="&amp;DATE(Settings!$B$6,12,31))</f>
        <v>0</v>
      </c>
      <c r="M14" s="27" t="n">
        <f aca="false">SUMIFS(Income!$F$6:$F$605,Income!$J$6:$J$605,12,Income!$A$6:$A$605,"&gt;="&amp;DATE(Settings!$B$6,1,1),Income!$A$6:$A$605,"&lt;="&amp;DATE(Settings!$B$6,12,31))</f>
        <v>0</v>
      </c>
      <c r="N14" s="28" t="n">
        <f aca="false">SUM(B14:M14)</f>
        <v>20</v>
      </c>
    </row>
    <row r="15" customFormat="false" ht="15" hidden="false" customHeight="false" outlineLevel="0" collapsed="false">
      <c r="A15" s="23" t="s">
        <v>119</v>
      </c>
      <c r="B15" s="29" t="n">
        <f aca="false">SUM(B6:B14)</f>
        <v>145</v>
      </c>
      <c r="C15" s="29" t="n">
        <f aca="false">SUM(C6:C14)</f>
        <v>0</v>
      </c>
      <c r="D15" s="29" t="n">
        <f aca="false">SUM(D6:D14)</f>
        <v>0</v>
      </c>
      <c r="E15" s="29" t="n">
        <f aca="false">SUM(E6:E14)</f>
        <v>0</v>
      </c>
      <c r="F15" s="29" t="n">
        <f aca="false">SUM(F6:F14)</f>
        <v>0</v>
      </c>
      <c r="G15" s="29" t="n">
        <f aca="false">SUM(G6:G14)</f>
        <v>0</v>
      </c>
      <c r="H15" s="29" t="n">
        <f aca="false">SUM(H6:H14)</f>
        <v>0</v>
      </c>
      <c r="I15" s="29" t="n">
        <f aca="false">SUM(I6:I14)</f>
        <v>0</v>
      </c>
      <c r="J15" s="29" t="n">
        <f aca="false">SUM(J6:J14)</f>
        <v>0</v>
      </c>
      <c r="K15" s="29" t="n">
        <f aca="false">SUM(K6:K14)</f>
        <v>0</v>
      </c>
      <c r="L15" s="29" t="n">
        <f aca="false">SUM(L6:L14)</f>
        <v>0</v>
      </c>
      <c r="M15" s="29" t="n">
        <f aca="false">SUM(M6:M14)</f>
        <v>0</v>
      </c>
      <c r="N15" s="29" t="n">
        <f aca="false">SUM(N6:N14)</f>
        <v>145</v>
      </c>
    </row>
    <row r="17" customFormat="false" ht="15" hidden="false" customHeight="false" outlineLevel="0" collapsed="false">
      <c r="A17" s="23" t="s">
        <v>120</v>
      </c>
    </row>
    <row r="18" customFormat="false" ht="15" hidden="false" customHeight="false" outlineLevel="0" collapsed="false">
      <c r="A18" s="12" t="s">
        <v>121</v>
      </c>
      <c r="B18" s="27" t="n">
        <f aca="false">SUMIFS(Income!$H$6:$H$605,Income!$J$6:$J$605,1,Income!$A$6:$A$605,"&gt;="&amp;DATE(Settings!$B$6,1,1),Income!$A$6:$A$605,"&lt;="&amp;DATE(Settings!$B$6,12,31))</f>
        <v>4.51</v>
      </c>
      <c r="C18" s="27" t="n">
        <f aca="false">SUMIFS(Income!$H$6:$H$605,Income!$J$6:$J$605,2,Income!$A$6:$A$605,"&gt;="&amp;DATE(Settings!$B$6,1,1),Income!$A$6:$A$605,"&lt;="&amp;DATE(Settings!$B$6,12,31))</f>
        <v>0</v>
      </c>
      <c r="D18" s="27" t="n">
        <f aca="false">SUMIFS(Income!$H$6:$H$605,Income!$J$6:$J$605,3,Income!$A$6:$A$605,"&gt;="&amp;DATE(Settings!$B$6,1,1),Income!$A$6:$A$605,"&lt;="&amp;DATE(Settings!$B$6,12,31))</f>
        <v>0</v>
      </c>
      <c r="E18" s="27" t="n">
        <f aca="false">SUMIFS(Income!$H$6:$H$605,Income!$J$6:$J$605,4,Income!$A$6:$A$605,"&gt;="&amp;DATE(Settings!$B$6,1,1),Income!$A$6:$A$605,"&lt;="&amp;DATE(Settings!$B$6,12,31))</f>
        <v>0</v>
      </c>
      <c r="F18" s="27" t="n">
        <f aca="false">SUMIFS(Income!$H$6:$H$605,Income!$J$6:$J$605,5,Income!$A$6:$A$605,"&gt;="&amp;DATE(Settings!$B$6,1,1),Income!$A$6:$A$605,"&lt;="&amp;DATE(Settings!$B$6,12,31))</f>
        <v>0</v>
      </c>
      <c r="G18" s="27" t="n">
        <f aca="false">SUMIFS(Income!$H$6:$H$605,Income!$J$6:$J$605,6,Income!$A$6:$A$605,"&gt;="&amp;DATE(Settings!$B$6,1,1),Income!$A$6:$A$605,"&lt;="&amp;DATE(Settings!$B$6,12,31))</f>
        <v>0</v>
      </c>
      <c r="H18" s="27" t="n">
        <f aca="false">SUMIFS(Income!$H$6:$H$605,Income!$J$6:$J$605,7,Income!$A$6:$A$605,"&gt;="&amp;DATE(Settings!$B$6,1,1),Income!$A$6:$A$605,"&lt;="&amp;DATE(Settings!$B$6,12,31))</f>
        <v>0</v>
      </c>
      <c r="I18" s="27" t="n">
        <f aca="false">SUMIFS(Income!$H$6:$H$605,Income!$J$6:$J$605,8,Income!$A$6:$A$605,"&gt;="&amp;DATE(Settings!$B$6,1,1),Income!$A$6:$A$605,"&lt;="&amp;DATE(Settings!$B$6,12,31))</f>
        <v>0</v>
      </c>
      <c r="J18" s="27" t="n">
        <f aca="false">SUMIFS(Income!$H$6:$H$605,Income!$J$6:$J$605,9,Income!$A$6:$A$605,"&gt;="&amp;DATE(Settings!$B$6,1,1),Income!$A$6:$A$605,"&lt;="&amp;DATE(Settings!$B$6,12,31))</f>
        <v>0</v>
      </c>
      <c r="K18" s="27" t="n">
        <f aca="false">SUMIFS(Income!$H$6:$H$605,Income!$J$6:$J$605,10,Income!$A$6:$A$605,"&gt;="&amp;DATE(Settings!$B$6,1,1),Income!$A$6:$A$605,"&lt;="&amp;DATE(Settings!$B$6,12,31))</f>
        <v>0</v>
      </c>
      <c r="L18" s="27" t="n">
        <f aca="false">SUMIFS(Income!$H$6:$H$605,Income!$J$6:$J$605,11,Income!$A$6:$A$605,"&gt;="&amp;DATE(Settings!$B$6,1,1),Income!$A$6:$A$605,"&lt;="&amp;DATE(Settings!$B$6,12,31))</f>
        <v>0</v>
      </c>
      <c r="M18" s="27" t="n">
        <f aca="false">SUMIFS(Income!$H$6:$H$605,Income!$J$6:$J$605,12,Income!$A$6:$A$605,"&gt;="&amp;DATE(Settings!$B$6,1,1),Income!$A$6:$A$605,"&lt;="&amp;DATE(Settings!$B$6,12,31))</f>
        <v>0</v>
      </c>
      <c r="N18" s="28" t="n">
        <f aca="false">SUM(B18:M18)</f>
        <v>4.51</v>
      </c>
    </row>
    <row r="19" customFormat="false" ht="15" hidden="false" customHeight="false" outlineLevel="0" collapsed="false">
      <c r="A19" s="26" t="str">
        <f aca="false">Settings!D12</f>
        <v>Rent and utilities</v>
      </c>
      <c r="B19" s="27" t="n">
        <f aca="false">SUMIFS(Expenses!$E$6:$E$605,Expenses!$D$6:$D$605,$A19,Expenses!$H$6:$H$605,1,Expenses!$A$6:$A$605,"&gt;="&amp;DATE(Settings!$B$6,1,1),Expenses!$A$6:$A$605,"&lt;="&amp;DATE(Settings!$B$6,12,31))</f>
        <v>0</v>
      </c>
      <c r="C19" s="27" t="n">
        <f aca="false">SUMIFS(Expenses!$E$6:$E$605,Expenses!$D$6:$D$605,$A19,Expenses!$H$6:$H$605,2,Expenses!$A$6:$A$605,"&gt;="&amp;DATE(Settings!$B$6,1,1),Expenses!$A$6:$A$605,"&lt;="&amp;DATE(Settings!$B$6,12,31))</f>
        <v>0</v>
      </c>
      <c r="D19" s="27" t="n">
        <f aca="false">SUMIFS(Expenses!$E$6:$E$605,Expenses!$D$6:$D$605,$A19,Expenses!$H$6:$H$605,3,Expenses!$A$6:$A$605,"&gt;="&amp;DATE(Settings!$B$6,1,1),Expenses!$A$6:$A$605,"&lt;="&amp;DATE(Settings!$B$6,12,31))</f>
        <v>0</v>
      </c>
      <c r="E19" s="27" t="n">
        <f aca="false">SUMIFS(Expenses!$E$6:$E$605,Expenses!$D$6:$D$605,$A19,Expenses!$H$6:$H$605,4,Expenses!$A$6:$A$605,"&gt;="&amp;DATE(Settings!$B$6,1,1),Expenses!$A$6:$A$605,"&lt;="&amp;DATE(Settings!$B$6,12,31))</f>
        <v>0</v>
      </c>
      <c r="F19" s="27" t="n">
        <f aca="false">SUMIFS(Expenses!$E$6:$E$605,Expenses!$D$6:$D$605,$A19,Expenses!$H$6:$H$605,5,Expenses!$A$6:$A$605,"&gt;="&amp;DATE(Settings!$B$6,1,1),Expenses!$A$6:$A$605,"&lt;="&amp;DATE(Settings!$B$6,12,31))</f>
        <v>0</v>
      </c>
      <c r="G19" s="27" t="n">
        <f aca="false">SUMIFS(Expenses!$E$6:$E$605,Expenses!$D$6:$D$605,$A19,Expenses!$H$6:$H$605,6,Expenses!$A$6:$A$605,"&gt;="&amp;DATE(Settings!$B$6,1,1),Expenses!$A$6:$A$605,"&lt;="&amp;DATE(Settings!$B$6,12,31))</f>
        <v>0</v>
      </c>
      <c r="H19" s="27" t="n">
        <f aca="false">SUMIFS(Expenses!$E$6:$E$605,Expenses!$D$6:$D$605,$A19,Expenses!$H$6:$H$605,7,Expenses!$A$6:$A$605,"&gt;="&amp;DATE(Settings!$B$6,1,1),Expenses!$A$6:$A$605,"&lt;="&amp;DATE(Settings!$B$6,12,31))</f>
        <v>0</v>
      </c>
      <c r="I19" s="27" t="n">
        <f aca="false">SUMIFS(Expenses!$E$6:$E$605,Expenses!$D$6:$D$605,$A19,Expenses!$H$6:$H$605,8,Expenses!$A$6:$A$605,"&gt;="&amp;DATE(Settings!$B$6,1,1),Expenses!$A$6:$A$605,"&lt;="&amp;DATE(Settings!$B$6,12,31))</f>
        <v>0</v>
      </c>
      <c r="J19" s="27" t="n">
        <f aca="false">SUMIFS(Expenses!$E$6:$E$605,Expenses!$D$6:$D$605,$A19,Expenses!$H$6:$H$605,9,Expenses!$A$6:$A$605,"&gt;="&amp;DATE(Settings!$B$6,1,1),Expenses!$A$6:$A$605,"&lt;="&amp;DATE(Settings!$B$6,12,31))</f>
        <v>0</v>
      </c>
      <c r="K19" s="27" t="n">
        <f aca="false">SUMIFS(Expenses!$E$6:$E$605,Expenses!$D$6:$D$605,$A19,Expenses!$H$6:$H$605,10,Expenses!$A$6:$A$605,"&gt;="&amp;DATE(Settings!$B$6,1,1),Expenses!$A$6:$A$605,"&lt;="&amp;DATE(Settings!$B$6,12,31))</f>
        <v>0</v>
      </c>
      <c r="L19" s="27" t="n">
        <f aca="false">SUMIFS(Expenses!$E$6:$E$605,Expenses!$D$6:$D$605,$A19,Expenses!$H$6:$H$605,11,Expenses!$A$6:$A$605,"&gt;="&amp;DATE(Settings!$B$6,1,1),Expenses!$A$6:$A$605,"&lt;="&amp;DATE(Settings!$B$6,12,31))</f>
        <v>0</v>
      </c>
      <c r="M19" s="27" t="n">
        <f aca="false">SUMIFS(Expenses!$E$6:$E$605,Expenses!$D$6:$D$605,$A19,Expenses!$H$6:$H$605,12,Expenses!$A$6:$A$605,"&gt;="&amp;DATE(Settings!$B$6,1,1),Expenses!$A$6:$A$605,"&lt;="&amp;DATE(Settings!$B$6,12,31))</f>
        <v>0</v>
      </c>
      <c r="N19" s="28" t="n">
        <f aca="false">SUM(B19:M19)</f>
        <v>0</v>
      </c>
    </row>
    <row r="20" customFormat="false" ht="15" hidden="false" customHeight="false" outlineLevel="0" collapsed="false">
      <c r="A20" s="26" t="str">
        <f aca="false">Settings!D13</f>
        <v>Backbar supplies</v>
      </c>
      <c r="B20" s="27" t="n">
        <f aca="false">SUMIFS(Expenses!$E$6:$E$605,Expenses!$D$6:$D$605,$A20,Expenses!$H$6:$H$605,1,Expenses!$A$6:$A$605,"&gt;="&amp;DATE(Settings!$B$6,1,1),Expenses!$A$6:$A$605,"&lt;="&amp;DATE(Settings!$B$6,12,31))</f>
        <v>86.4</v>
      </c>
      <c r="C20" s="27" t="n">
        <f aca="false">SUMIFS(Expenses!$E$6:$E$605,Expenses!$D$6:$D$605,$A20,Expenses!$H$6:$H$605,2,Expenses!$A$6:$A$605,"&gt;="&amp;DATE(Settings!$B$6,1,1),Expenses!$A$6:$A$605,"&lt;="&amp;DATE(Settings!$B$6,12,31))</f>
        <v>0</v>
      </c>
      <c r="D20" s="27" t="n">
        <f aca="false">SUMIFS(Expenses!$E$6:$E$605,Expenses!$D$6:$D$605,$A20,Expenses!$H$6:$H$605,3,Expenses!$A$6:$A$605,"&gt;="&amp;DATE(Settings!$B$6,1,1),Expenses!$A$6:$A$605,"&lt;="&amp;DATE(Settings!$B$6,12,31))</f>
        <v>0</v>
      </c>
      <c r="E20" s="27" t="n">
        <f aca="false">SUMIFS(Expenses!$E$6:$E$605,Expenses!$D$6:$D$605,$A20,Expenses!$H$6:$H$605,4,Expenses!$A$6:$A$605,"&gt;="&amp;DATE(Settings!$B$6,1,1),Expenses!$A$6:$A$605,"&lt;="&amp;DATE(Settings!$B$6,12,31))</f>
        <v>0</v>
      </c>
      <c r="F20" s="27" t="n">
        <f aca="false">SUMIFS(Expenses!$E$6:$E$605,Expenses!$D$6:$D$605,$A20,Expenses!$H$6:$H$605,5,Expenses!$A$6:$A$605,"&gt;="&amp;DATE(Settings!$B$6,1,1),Expenses!$A$6:$A$605,"&lt;="&amp;DATE(Settings!$B$6,12,31))</f>
        <v>0</v>
      </c>
      <c r="G20" s="27" t="n">
        <f aca="false">SUMIFS(Expenses!$E$6:$E$605,Expenses!$D$6:$D$605,$A20,Expenses!$H$6:$H$605,6,Expenses!$A$6:$A$605,"&gt;="&amp;DATE(Settings!$B$6,1,1),Expenses!$A$6:$A$605,"&lt;="&amp;DATE(Settings!$B$6,12,31))</f>
        <v>0</v>
      </c>
      <c r="H20" s="27" t="n">
        <f aca="false">SUMIFS(Expenses!$E$6:$E$605,Expenses!$D$6:$D$605,$A20,Expenses!$H$6:$H$605,7,Expenses!$A$6:$A$605,"&gt;="&amp;DATE(Settings!$B$6,1,1),Expenses!$A$6:$A$605,"&lt;="&amp;DATE(Settings!$B$6,12,31))</f>
        <v>0</v>
      </c>
      <c r="I20" s="27" t="n">
        <f aca="false">SUMIFS(Expenses!$E$6:$E$605,Expenses!$D$6:$D$605,$A20,Expenses!$H$6:$H$605,8,Expenses!$A$6:$A$605,"&gt;="&amp;DATE(Settings!$B$6,1,1),Expenses!$A$6:$A$605,"&lt;="&amp;DATE(Settings!$B$6,12,31))</f>
        <v>0</v>
      </c>
      <c r="J20" s="27" t="n">
        <f aca="false">SUMIFS(Expenses!$E$6:$E$605,Expenses!$D$6:$D$605,$A20,Expenses!$H$6:$H$605,9,Expenses!$A$6:$A$605,"&gt;="&amp;DATE(Settings!$B$6,1,1),Expenses!$A$6:$A$605,"&lt;="&amp;DATE(Settings!$B$6,12,31))</f>
        <v>0</v>
      </c>
      <c r="K20" s="27" t="n">
        <f aca="false">SUMIFS(Expenses!$E$6:$E$605,Expenses!$D$6:$D$605,$A20,Expenses!$H$6:$H$605,10,Expenses!$A$6:$A$605,"&gt;="&amp;DATE(Settings!$B$6,1,1),Expenses!$A$6:$A$605,"&lt;="&amp;DATE(Settings!$B$6,12,31))</f>
        <v>0</v>
      </c>
      <c r="L20" s="27" t="n">
        <f aca="false">SUMIFS(Expenses!$E$6:$E$605,Expenses!$D$6:$D$605,$A20,Expenses!$H$6:$H$605,11,Expenses!$A$6:$A$605,"&gt;="&amp;DATE(Settings!$B$6,1,1),Expenses!$A$6:$A$605,"&lt;="&amp;DATE(Settings!$B$6,12,31))</f>
        <v>0</v>
      </c>
      <c r="M20" s="27" t="n">
        <f aca="false">SUMIFS(Expenses!$E$6:$E$605,Expenses!$D$6:$D$605,$A20,Expenses!$H$6:$H$605,12,Expenses!$A$6:$A$605,"&gt;="&amp;DATE(Settings!$B$6,1,1),Expenses!$A$6:$A$605,"&lt;="&amp;DATE(Settings!$B$6,12,31))</f>
        <v>0</v>
      </c>
      <c r="N20" s="28" t="n">
        <f aca="false">SUM(B20:M20)</f>
        <v>86.4</v>
      </c>
    </row>
    <row r="21" customFormat="false" ht="15" hidden="false" customHeight="false" outlineLevel="0" collapsed="false">
      <c r="A21" s="26" t="str">
        <f aca="false">Settings!D14</f>
        <v>Retail inventory</v>
      </c>
      <c r="B21" s="27" t="n">
        <f aca="false">SUMIFS(Expenses!$E$6:$E$605,Expenses!$D$6:$D$605,$A21,Expenses!$H$6:$H$605,1,Expenses!$A$6:$A$605,"&gt;="&amp;DATE(Settings!$B$6,1,1),Expenses!$A$6:$A$605,"&lt;="&amp;DATE(Settings!$B$6,12,31))</f>
        <v>0</v>
      </c>
      <c r="C21" s="27" t="n">
        <f aca="false">SUMIFS(Expenses!$E$6:$E$605,Expenses!$D$6:$D$605,$A21,Expenses!$H$6:$H$605,2,Expenses!$A$6:$A$605,"&gt;="&amp;DATE(Settings!$B$6,1,1),Expenses!$A$6:$A$605,"&lt;="&amp;DATE(Settings!$B$6,12,31))</f>
        <v>0</v>
      </c>
      <c r="D21" s="27" t="n">
        <f aca="false">SUMIFS(Expenses!$E$6:$E$605,Expenses!$D$6:$D$605,$A21,Expenses!$H$6:$H$605,3,Expenses!$A$6:$A$605,"&gt;="&amp;DATE(Settings!$B$6,1,1),Expenses!$A$6:$A$605,"&lt;="&amp;DATE(Settings!$B$6,12,31))</f>
        <v>0</v>
      </c>
      <c r="E21" s="27" t="n">
        <f aca="false">SUMIFS(Expenses!$E$6:$E$605,Expenses!$D$6:$D$605,$A21,Expenses!$H$6:$H$605,4,Expenses!$A$6:$A$605,"&gt;="&amp;DATE(Settings!$B$6,1,1),Expenses!$A$6:$A$605,"&lt;="&amp;DATE(Settings!$B$6,12,31))</f>
        <v>0</v>
      </c>
      <c r="F21" s="27" t="n">
        <f aca="false">SUMIFS(Expenses!$E$6:$E$605,Expenses!$D$6:$D$605,$A21,Expenses!$H$6:$H$605,5,Expenses!$A$6:$A$605,"&gt;="&amp;DATE(Settings!$B$6,1,1),Expenses!$A$6:$A$605,"&lt;="&amp;DATE(Settings!$B$6,12,31))</f>
        <v>0</v>
      </c>
      <c r="G21" s="27" t="n">
        <f aca="false">SUMIFS(Expenses!$E$6:$E$605,Expenses!$D$6:$D$605,$A21,Expenses!$H$6:$H$605,6,Expenses!$A$6:$A$605,"&gt;="&amp;DATE(Settings!$B$6,1,1),Expenses!$A$6:$A$605,"&lt;="&amp;DATE(Settings!$B$6,12,31))</f>
        <v>0</v>
      </c>
      <c r="H21" s="27" t="n">
        <f aca="false">SUMIFS(Expenses!$E$6:$E$605,Expenses!$D$6:$D$605,$A21,Expenses!$H$6:$H$605,7,Expenses!$A$6:$A$605,"&gt;="&amp;DATE(Settings!$B$6,1,1),Expenses!$A$6:$A$605,"&lt;="&amp;DATE(Settings!$B$6,12,31))</f>
        <v>0</v>
      </c>
      <c r="I21" s="27" t="n">
        <f aca="false">SUMIFS(Expenses!$E$6:$E$605,Expenses!$D$6:$D$605,$A21,Expenses!$H$6:$H$605,8,Expenses!$A$6:$A$605,"&gt;="&amp;DATE(Settings!$B$6,1,1),Expenses!$A$6:$A$605,"&lt;="&amp;DATE(Settings!$B$6,12,31))</f>
        <v>0</v>
      </c>
      <c r="J21" s="27" t="n">
        <f aca="false">SUMIFS(Expenses!$E$6:$E$605,Expenses!$D$6:$D$605,$A21,Expenses!$H$6:$H$605,9,Expenses!$A$6:$A$605,"&gt;="&amp;DATE(Settings!$B$6,1,1),Expenses!$A$6:$A$605,"&lt;="&amp;DATE(Settings!$B$6,12,31))</f>
        <v>0</v>
      </c>
      <c r="K21" s="27" t="n">
        <f aca="false">SUMIFS(Expenses!$E$6:$E$605,Expenses!$D$6:$D$605,$A21,Expenses!$H$6:$H$605,10,Expenses!$A$6:$A$605,"&gt;="&amp;DATE(Settings!$B$6,1,1),Expenses!$A$6:$A$605,"&lt;="&amp;DATE(Settings!$B$6,12,31))</f>
        <v>0</v>
      </c>
      <c r="L21" s="27" t="n">
        <f aca="false">SUMIFS(Expenses!$E$6:$E$605,Expenses!$D$6:$D$605,$A21,Expenses!$H$6:$H$605,11,Expenses!$A$6:$A$605,"&gt;="&amp;DATE(Settings!$B$6,1,1),Expenses!$A$6:$A$605,"&lt;="&amp;DATE(Settings!$B$6,12,31))</f>
        <v>0</v>
      </c>
      <c r="M21" s="27" t="n">
        <f aca="false">SUMIFS(Expenses!$E$6:$E$605,Expenses!$D$6:$D$605,$A21,Expenses!$H$6:$H$605,12,Expenses!$A$6:$A$605,"&gt;="&amp;DATE(Settings!$B$6,1,1),Expenses!$A$6:$A$605,"&lt;="&amp;DATE(Settings!$B$6,12,31))</f>
        <v>0</v>
      </c>
      <c r="N21" s="28" t="n">
        <f aca="false">SUM(B21:M21)</f>
        <v>0</v>
      </c>
    </row>
    <row r="22" customFormat="false" ht="15" hidden="false" customHeight="false" outlineLevel="0" collapsed="false">
      <c r="A22" s="26" t="str">
        <f aca="false">Settings!D15</f>
        <v>Equipment</v>
      </c>
      <c r="B22" s="27" t="n">
        <f aca="false">SUMIFS(Expenses!$E$6:$E$605,Expenses!$D$6:$D$605,$A22,Expenses!$H$6:$H$605,1,Expenses!$A$6:$A$605,"&gt;="&amp;DATE(Settings!$B$6,1,1),Expenses!$A$6:$A$605,"&lt;="&amp;DATE(Settings!$B$6,12,31))</f>
        <v>0</v>
      </c>
      <c r="C22" s="27" t="n">
        <f aca="false">SUMIFS(Expenses!$E$6:$E$605,Expenses!$D$6:$D$605,$A22,Expenses!$H$6:$H$605,2,Expenses!$A$6:$A$605,"&gt;="&amp;DATE(Settings!$B$6,1,1),Expenses!$A$6:$A$605,"&lt;="&amp;DATE(Settings!$B$6,12,31))</f>
        <v>0</v>
      </c>
      <c r="D22" s="27" t="n">
        <f aca="false">SUMIFS(Expenses!$E$6:$E$605,Expenses!$D$6:$D$605,$A22,Expenses!$H$6:$H$605,3,Expenses!$A$6:$A$605,"&gt;="&amp;DATE(Settings!$B$6,1,1),Expenses!$A$6:$A$605,"&lt;="&amp;DATE(Settings!$B$6,12,31))</f>
        <v>0</v>
      </c>
      <c r="E22" s="27" t="n">
        <f aca="false">SUMIFS(Expenses!$E$6:$E$605,Expenses!$D$6:$D$605,$A22,Expenses!$H$6:$H$605,4,Expenses!$A$6:$A$605,"&gt;="&amp;DATE(Settings!$B$6,1,1),Expenses!$A$6:$A$605,"&lt;="&amp;DATE(Settings!$B$6,12,31))</f>
        <v>0</v>
      </c>
      <c r="F22" s="27" t="n">
        <f aca="false">SUMIFS(Expenses!$E$6:$E$605,Expenses!$D$6:$D$605,$A22,Expenses!$H$6:$H$605,5,Expenses!$A$6:$A$605,"&gt;="&amp;DATE(Settings!$B$6,1,1),Expenses!$A$6:$A$605,"&lt;="&amp;DATE(Settings!$B$6,12,31))</f>
        <v>0</v>
      </c>
      <c r="G22" s="27" t="n">
        <f aca="false">SUMIFS(Expenses!$E$6:$E$605,Expenses!$D$6:$D$605,$A22,Expenses!$H$6:$H$605,6,Expenses!$A$6:$A$605,"&gt;="&amp;DATE(Settings!$B$6,1,1),Expenses!$A$6:$A$605,"&lt;="&amp;DATE(Settings!$B$6,12,31))</f>
        <v>0</v>
      </c>
      <c r="H22" s="27" t="n">
        <f aca="false">SUMIFS(Expenses!$E$6:$E$605,Expenses!$D$6:$D$605,$A22,Expenses!$H$6:$H$605,7,Expenses!$A$6:$A$605,"&gt;="&amp;DATE(Settings!$B$6,1,1),Expenses!$A$6:$A$605,"&lt;="&amp;DATE(Settings!$B$6,12,31))</f>
        <v>0</v>
      </c>
      <c r="I22" s="27" t="n">
        <f aca="false">SUMIFS(Expenses!$E$6:$E$605,Expenses!$D$6:$D$605,$A22,Expenses!$H$6:$H$605,8,Expenses!$A$6:$A$605,"&gt;="&amp;DATE(Settings!$B$6,1,1),Expenses!$A$6:$A$605,"&lt;="&amp;DATE(Settings!$B$6,12,31))</f>
        <v>0</v>
      </c>
      <c r="J22" s="27" t="n">
        <f aca="false">SUMIFS(Expenses!$E$6:$E$605,Expenses!$D$6:$D$605,$A22,Expenses!$H$6:$H$605,9,Expenses!$A$6:$A$605,"&gt;="&amp;DATE(Settings!$B$6,1,1),Expenses!$A$6:$A$605,"&lt;="&amp;DATE(Settings!$B$6,12,31))</f>
        <v>0</v>
      </c>
      <c r="K22" s="27" t="n">
        <f aca="false">SUMIFS(Expenses!$E$6:$E$605,Expenses!$D$6:$D$605,$A22,Expenses!$H$6:$H$605,10,Expenses!$A$6:$A$605,"&gt;="&amp;DATE(Settings!$B$6,1,1),Expenses!$A$6:$A$605,"&lt;="&amp;DATE(Settings!$B$6,12,31))</f>
        <v>0</v>
      </c>
      <c r="L22" s="27" t="n">
        <f aca="false">SUMIFS(Expenses!$E$6:$E$605,Expenses!$D$6:$D$605,$A22,Expenses!$H$6:$H$605,11,Expenses!$A$6:$A$605,"&gt;="&amp;DATE(Settings!$B$6,1,1),Expenses!$A$6:$A$605,"&lt;="&amp;DATE(Settings!$B$6,12,31))</f>
        <v>0</v>
      </c>
      <c r="M22" s="27" t="n">
        <f aca="false">SUMIFS(Expenses!$E$6:$E$605,Expenses!$D$6:$D$605,$A22,Expenses!$H$6:$H$605,12,Expenses!$A$6:$A$605,"&gt;="&amp;DATE(Settings!$B$6,1,1),Expenses!$A$6:$A$605,"&lt;="&amp;DATE(Settings!$B$6,12,31))</f>
        <v>0</v>
      </c>
      <c r="N22" s="28" t="n">
        <f aca="false">SUM(B22:M22)</f>
        <v>0</v>
      </c>
    </row>
    <row r="23" customFormat="false" ht="15" hidden="false" customHeight="false" outlineLevel="0" collapsed="false">
      <c r="A23" s="26" t="str">
        <f aca="false">Settings!D16</f>
        <v>Insurance and licenses</v>
      </c>
      <c r="B23" s="27" t="n">
        <f aca="false">SUMIFS(Expenses!$E$6:$E$605,Expenses!$D$6:$D$605,$A23,Expenses!$H$6:$H$605,1,Expenses!$A$6:$A$605,"&gt;="&amp;DATE(Settings!$B$6,1,1),Expenses!$A$6:$A$605,"&lt;="&amp;DATE(Settings!$B$6,12,31))</f>
        <v>0</v>
      </c>
      <c r="C23" s="27" t="n">
        <f aca="false">SUMIFS(Expenses!$E$6:$E$605,Expenses!$D$6:$D$605,$A23,Expenses!$H$6:$H$605,2,Expenses!$A$6:$A$605,"&gt;="&amp;DATE(Settings!$B$6,1,1),Expenses!$A$6:$A$605,"&lt;="&amp;DATE(Settings!$B$6,12,31))</f>
        <v>0</v>
      </c>
      <c r="D23" s="27" t="n">
        <f aca="false">SUMIFS(Expenses!$E$6:$E$605,Expenses!$D$6:$D$605,$A23,Expenses!$H$6:$H$605,3,Expenses!$A$6:$A$605,"&gt;="&amp;DATE(Settings!$B$6,1,1),Expenses!$A$6:$A$605,"&lt;="&amp;DATE(Settings!$B$6,12,31))</f>
        <v>0</v>
      </c>
      <c r="E23" s="27" t="n">
        <f aca="false">SUMIFS(Expenses!$E$6:$E$605,Expenses!$D$6:$D$605,$A23,Expenses!$H$6:$H$605,4,Expenses!$A$6:$A$605,"&gt;="&amp;DATE(Settings!$B$6,1,1),Expenses!$A$6:$A$605,"&lt;="&amp;DATE(Settings!$B$6,12,31))</f>
        <v>0</v>
      </c>
      <c r="F23" s="27" t="n">
        <f aca="false">SUMIFS(Expenses!$E$6:$E$605,Expenses!$D$6:$D$605,$A23,Expenses!$H$6:$H$605,5,Expenses!$A$6:$A$605,"&gt;="&amp;DATE(Settings!$B$6,1,1),Expenses!$A$6:$A$605,"&lt;="&amp;DATE(Settings!$B$6,12,31))</f>
        <v>0</v>
      </c>
      <c r="G23" s="27" t="n">
        <f aca="false">SUMIFS(Expenses!$E$6:$E$605,Expenses!$D$6:$D$605,$A23,Expenses!$H$6:$H$605,6,Expenses!$A$6:$A$605,"&gt;="&amp;DATE(Settings!$B$6,1,1),Expenses!$A$6:$A$605,"&lt;="&amp;DATE(Settings!$B$6,12,31))</f>
        <v>0</v>
      </c>
      <c r="H23" s="27" t="n">
        <f aca="false">SUMIFS(Expenses!$E$6:$E$605,Expenses!$D$6:$D$605,$A23,Expenses!$H$6:$H$605,7,Expenses!$A$6:$A$605,"&gt;="&amp;DATE(Settings!$B$6,1,1),Expenses!$A$6:$A$605,"&lt;="&amp;DATE(Settings!$B$6,12,31))</f>
        <v>0</v>
      </c>
      <c r="I23" s="27" t="n">
        <f aca="false">SUMIFS(Expenses!$E$6:$E$605,Expenses!$D$6:$D$605,$A23,Expenses!$H$6:$H$605,8,Expenses!$A$6:$A$605,"&gt;="&amp;DATE(Settings!$B$6,1,1),Expenses!$A$6:$A$605,"&lt;="&amp;DATE(Settings!$B$6,12,31))</f>
        <v>0</v>
      </c>
      <c r="J23" s="27" t="n">
        <f aca="false">SUMIFS(Expenses!$E$6:$E$605,Expenses!$D$6:$D$605,$A23,Expenses!$H$6:$H$605,9,Expenses!$A$6:$A$605,"&gt;="&amp;DATE(Settings!$B$6,1,1),Expenses!$A$6:$A$605,"&lt;="&amp;DATE(Settings!$B$6,12,31))</f>
        <v>0</v>
      </c>
      <c r="K23" s="27" t="n">
        <f aca="false">SUMIFS(Expenses!$E$6:$E$605,Expenses!$D$6:$D$605,$A23,Expenses!$H$6:$H$605,10,Expenses!$A$6:$A$605,"&gt;="&amp;DATE(Settings!$B$6,1,1),Expenses!$A$6:$A$605,"&lt;="&amp;DATE(Settings!$B$6,12,31))</f>
        <v>0</v>
      </c>
      <c r="L23" s="27" t="n">
        <f aca="false">SUMIFS(Expenses!$E$6:$E$605,Expenses!$D$6:$D$605,$A23,Expenses!$H$6:$H$605,11,Expenses!$A$6:$A$605,"&gt;="&amp;DATE(Settings!$B$6,1,1),Expenses!$A$6:$A$605,"&lt;="&amp;DATE(Settings!$B$6,12,31))</f>
        <v>0</v>
      </c>
      <c r="M23" s="27" t="n">
        <f aca="false">SUMIFS(Expenses!$E$6:$E$605,Expenses!$D$6:$D$605,$A23,Expenses!$H$6:$H$605,12,Expenses!$A$6:$A$605,"&gt;="&amp;DATE(Settings!$B$6,1,1),Expenses!$A$6:$A$605,"&lt;="&amp;DATE(Settings!$B$6,12,31))</f>
        <v>0</v>
      </c>
      <c r="N23" s="28" t="n">
        <f aca="false">SUM(B23:M23)</f>
        <v>0</v>
      </c>
    </row>
    <row r="24" customFormat="false" ht="15" hidden="false" customHeight="false" outlineLevel="0" collapsed="false">
      <c r="A24" s="26" t="str">
        <f aca="false">Settings!D17</f>
        <v>Software and booking</v>
      </c>
      <c r="B24" s="27" t="n">
        <f aca="false">SUMIFS(Expenses!$E$6:$E$605,Expenses!$D$6:$D$605,$A24,Expenses!$H$6:$H$605,1,Expenses!$A$6:$A$605,"&gt;="&amp;DATE(Settings!$B$6,1,1),Expenses!$A$6:$A$605,"&lt;="&amp;DATE(Settings!$B$6,12,31))</f>
        <v>0</v>
      </c>
      <c r="C24" s="27" t="n">
        <f aca="false">SUMIFS(Expenses!$E$6:$E$605,Expenses!$D$6:$D$605,$A24,Expenses!$H$6:$H$605,2,Expenses!$A$6:$A$605,"&gt;="&amp;DATE(Settings!$B$6,1,1),Expenses!$A$6:$A$605,"&lt;="&amp;DATE(Settings!$B$6,12,31))</f>
        <v>0</v>
      </c>
      <c r="D24" s="27" t="n">
        <f aca="false">SUMIFS(Expenses!$E$6:$E$605,Expenses!$D$6:$D$605,$A24,Expenses!$H$6:$H$605,3,Expenses!$A$6:$A$605,"&gt;="&amp;DATE(Settings!$B$6,1,1),Expenses!$A$6:$A$605,"&lt;="&amp;DATE(Settings!$B$6,12,31))</f>
        <v>0</v>
      </c>
      <c r="E24" s="27" t="n">
        <f aca="false">SUMIFS(Expenses!$E$6:$E$605,Expenses!$D$6:$D$605,$A24,Expenses!$H$6:$H$605,4,Expenses!$A$6:$A$605,"&gt;="&amp;DATE(Settings!$B$6,1,1),Expenses!$A$6:$A$605,"&lt;="&amp;DATE(Settings!$B$6,12,31))</f>
        <v>0</v>
      </c>
      <c r="F24" s="27" t="n">
        <f aca="false">SUMIFS(Expenses!$E$6:$E$605,Expenses!$D$6:$D$605,$A24,Expenses!$H$6:$H$605,5,Expenses!$A$6:$A$605,"&gt;="&amp;DATE(Settings!$B$6,1,1),Expenses!$A$6:$A$605,"&lt;="&amp;DATE(Settings!$B$6,12,31))</f>
        <v>0</v>
      </c>
      <c r="G24" s="27" t="n">
        <f aca="false">SUMIFS(Expenses!$E$6:$E$605,Expenses!$D$6:$D$605,$A24,Expenses!$H$6:$H$605,6,Expenses!$A$6:$A$605,"&gt;="&amp;DATE(Settings!$B$6,1,1),Expenses!$A$6:$A$605,"&lt;="&amp;DATE(Settings!$B$6,12,31))</f>
        <v>0</v>
      </c>
      <c r="H24" s="27" t="n">
        <f aca="false">SUMIFS(Expenses!$E$6:$E$605,Expenses!$D$6:$D$605,$A24,Expenses!$H$6:$H$605,7,Expenses!$A$6:$A$605,"&gt;="&amp;DATE(Settings!$B$6,1,1),Expenses!$A$6:$A$605,"&lt;="&amp;DATE(Settings!$B$6,12,31))</f>
        <v>0</v>
      </c>
      <c r="I24" s="27" t="n">
        <f aca="false">SUMIFS(Expenses!$E$6:$E$605,Expenses!$D$6:$D$605,$A24,Expenses!$H$6:$H$605,8,Expenses!$A$6:$A$605,"&gt;="&amp;DATE(Settings!$B$6,1,1),Expenses!$A$6:$A$605,"&lt;="&amp;DATE(Settings!$B$6,12,31))</f>
        <v>0</v>
      </c>
      <c r="J24" s="27" t="n">
        <f aca="false">SUMIFS(Expenses!$E$6:$E$605,Expenses!$D$6:$D$605,$A24,Expenses!$H$6:$H$605,9,Expenses!$A$6:$A$605,"&gt;="&amp;DATE(Settings!$B$6,1,1),Expenses!$A$6:$A$605,"&lt;="&amp;DATE(Settings!$B$6,12,31))</f>
        <v>0</v>
      </c>
      <c r="K24" s="27" t="n">
        <f aca="false">SUMIFS(Expenses!$E$6:$E$605,Expenses!$D$6:$D$605,$A24,Expenses!$H$6:$H$605,10,Expenses!$A$6:$A$605,"&gt;="&amp;DATE(Settings!$B$6,1,1),Expenses!$A$6:$A$605,"&lt;="&amp;DATE(Settings!$B$6,12,31))</f>
        <v>0</v>
      </c>
      <c r="L24" s="27" t="n">
        <f aca="false">SUMIFS(Expenses!$E$6:$E$605,Expenses!$D$6:$D$605,$A24,Expenses!$H$6:$H$605,11,Expenses!$A$6:$A$605,"&gt;="&amp;DATE(Settings!$B$6,1,1),Expenses!$A$6:$A$605,"&lt;="&amp;DATE(Settings!$B$6,12,31))</f>
        <v>0</v>
      </c>
      <c r="M24" s="27" t="n">
        <f aca="false">SUMIFS(Expenses!$E$6:$E$605,Expenses!$D$6:$D$605,$A24,Expenses!$H$6:$H$605,12,Expenses!$A$6:$A$605,"&gt;="&amp;DATE(Settings!$B$6,1,1),Expenses!$A$6:$A$605,"&lt;="&amp;DATE(Settings!$B$6,12,31))</f>
        <v>0</v>
      </c>
      <c r="N24" s="28" t="n">
        <f aca="false">SUM(B24:M24)</f>
        <v>0</v>
      </c>
    </row>
    <row r="25" customFormat="false" ht="15" hidden="false" customHeight="false" outlineLevel="0" collapsed="false">
      <c r="A25" s="26" t="str">
        <f aca="false">Settings!D18</f>
        <v>Marketing</v>
      </c>
      <c r="B25" s="27" t="n">
        <f aca="false">SUMIFS(Expenses!$E$6:$E$605,Expenses!$D$6:$D$605,$A25,Expenses!$H$6:$H$605,1,Expenses!$A$6:$A$605,"&gt;="&amp;DATE(Settings!$B$6,1,1),Expenses!$A$6:$A$605,"&lt;="&amp;DATE(Settings!$B$6,12,31))</f>
        <v>0</v>
      </c>
      <c r="C25" s="27" t="n">
        <f aca="false">SUMIFS(Expenses!$E$6:$E$605,Expenses!$D$6:$D$605,$A25,Expenses!$H$6:$H$605,2,Expenses!$A$6:$A$605,"&gt;="&amp;DATE(Settings!$B$6,1,1),Expenses!$A$6:$A$605,"&lt;="&amp;DATE(Settings!$B$6,12,31))</f>
        <v>0</v>
      </c>
      <c r="D25" s="27" t="n">
        <f aca="false">SUMIFS(Expenses!$E$6:$E$605,Expenses!$D$6:$D$605,$A25,Expenses!$H$6:$H$605,3,Expenses!$A$6:$A$605,"&gt;="&amp;DATE(Settings!$B$6,1,1),Expenses!$A$6:$A$605,"&lt;="&amp;DATE(Settings!$B$6,12,31))</f>
        <v>0</v>
      </c>
      <c r="E25" s="27" t="n">
        <f aca="false">SUMIFS(Expenses!$E$6:$E$605,Expenses!$D$6:$D$605,$A25,Expenses!$H$6:$H$605,4,Expenses!$A$6:$A$605,"&gt;="&amp;DATE(Settings!$B$6,1,1),Expenses!$A$6:$A$605,"&lt;="&amp;DATE(Settings!$B$6,12,31))</f>
        <v>0</v>
      </c>
      <c r="F25" s="27" t="n">
        <f aca="false">SUMIFS(Expenses!$E$6:$E$605,Expenses!$D$6:$D$605,$A25,Expenses!$H$6:$H$605,5,Expenses!$A$6:$A$605,"&gt;="&amp;DATE(Settings!$B$6,1,1),Expenses!$A$6:$A$605,"&lt;="&amp;DATE(Settings!$B$6,12,31))</f>
        <v>0</v>
      </c>
      <c r="G25" s="27" t="n">
        <f aca="false">SUMIFS(Expenses!$E$6:$E$605,Expenses!$D$6:$D$605,$A25,Expenses!$H$6:$H$605,6,Expenses!$A$6:$A$605,"&gt;="&amp;DATE(Settings!$B$6,1,1),Expenses!$A$6:$A$605,"&lt;="&amp;DATE(Settings!$B$6,12,31))</f>
        <v>0</v>
      </c>
      <c r="H25" s="27" t="n">
        <f aca="false">SUMIFS(Expenses!$E$6:$E$605,Expenses!$D$6:$D$605,$A25,Expenses!$H$6:$H$605,7,Expenses!$A$6:$A$605,"&gt;="&amp;DATE(Settings!$B$6,1,1),Expenses!$A$6:$A$605,"&lt;="&amp;DATE(Settings!$B$6,12,31))</f>
        <v>0</v>
      </c>
      <c r="I25" s="27" t="n">
        <f aca="false">SUMIFS(Expenses!$E$6:$E$605,Expenses!$D$6:$D$605,$A25,Expenses!$H$6:$H$605,8,Expenses!$A$6:$A$605,"&gt;="&amp;DATE(Settings!$B$6,1,1),Expenses!$A$6:$A$605,"&lt;="&amp;DATE(Settings!$B$6,12,31))</f>
        <v>0</v>
      </c>
      <c r="J25" s="27" t="n">
        <f aca="false">SUMIFS(Expenses!$E$6:$E$605,Expenses!$D$6:$D$605,$A25,Expenses!$H$6:$H$605,9,Expenses!$A$6:$A$605,"&gt;="&amp;DATE(Settings!$B$6,1,1),Expenses!$A$6:$A$605,"&lt;="&amp;DATE(Settings!$B$6,12,31))</f>
        <v>0</v>
      </c>
      <c r="K25" s="27" t="n">
        <f aca="false">SUMIFS(Expenses!$E$6:$E$605,Expenses!$D$6:$D$605,$A25,Expenses!$H$6:$H$605,10,Expenses!$A$6:$A$605,"&gt;="&amp;DATE(Settings!$B$6,1,1),Expenses!$A$6:$A$605,"&lt;="&amp;DATE(Settings!$B$6,12,31))</f>
        <v>0</v>
      </c>
      <c r="L25" s="27" t="n">
        <f aca="false">SUMIFS(Expenses!$E$6:$E$605,Expenses!$D$6:$D$605,$A25,Expenses!$H$6:$H$605,11,Expenses!$A$6:$A$605,"&gt;="&amp;DATE(Settings!$B$6,1,1),Expenses!$A$6:$A$605,"&lt;="&amp;DATE(Settings!$B$6,12,31))</f>
        <v>0</v>
      </c>
      <c r="M25" s="27" t="n">
        <f aca="false">SUMIFS(Expenses!$E$6:$E$605,Expenses!$D$6:$D$605,$A25,Expenses!$H$6:$H$605,12,Expenses!$A$6:$A$605,"&gt;="&amp;DATE(Settings!$B$6,1,1),Expenses!$A$6:$A$605,"&lt;="&amp;DATE(Settings!$B$6,12,31))</f>
        <v>0</v>
      </c>
      <c r="N25" s="28" t="n">
        <f aca="false">SUM(B25:M25)</f>
        <v>0</v>
      </c>
    </row>
    <row r="26" customFormat="false" ht="15" hidden="false" customHeight="false" outlineLevel="0" collapsed="false">
      <c r="A26" s="26" t="str">
        <f aca="false">Settings!D19</f>
        <v>Education</v>
      </c>
      <c r="B26" s="27" t="n">
        <f aca="false">SUMIFS(Expenses!$E$6:$E$605,Expenses!$D$6:$D$605,$A26,Expenses!$H$6:$H$605,1,Expenses!$A$6:$A$605,"&gt;="&amp;DATE(Settings!$B$6,1,1),Expenses!$A$6:$A$605,"&lt;="&amp;DATE(Settings!$B$6,12,31))</f>
        <v>0</v>
      </c>
      <c r="C26" s="27" t="n">
        <f aca="false">SUMIFS(Expenses!$E$6:$E$605,Expenses!$D$6:$D$605,$A26,Expenses!$H$6:$H$605,2,Expenses!$A$6:$A$605,"&gt;="&amp;DATE(Settings!$B$6,1,1),Expenses!$A$6:$A$605,"&lt;="&amp;DATE(Settings!$B$6,12,31))</f>
        <v>0</v>
      </c>
      <c r="D26" s="27" t="n">
        <f aca="false">SUMIFS(Expenses!$E$6:$E$605,Expenses!$D$6:$D$605,$A26,Expenses!$H$6:$H$605,3,Expenses!$A$6:$A$605,"&gt;="&amp;DATE(Settings!$B$6,1,1),Expenses!$A$6:$A$605,"&lt;="&amp;DATE(Settings!$B$6,12,31))</f>
        <v>0</v>
      </c>
      <c r="E26" s="27" t="n">
        <f aca="false">SUMIFS(Expenses!$E$6:$E$605,Expenses!$D$6:$D$605,$A26,Expenses!$H$6:$H$605,4,Expenses!$A$6:$A$605,"&gt;="&amp;DATE(Settings!$B$6,1,1),Expenses!$A$6:$A$605,"&lt;="&amp;DATE(Settings!$B$6,12,31))</f>
        <v>0</v>
      </c>
      <c r="F26" s="27" t="n">
        <f aca="false">SUMIFS(Expenses!$E$6:$E$605,Expenses!$D$6:$D$605,$A26,Expenses!$H$6:$H$605,5,Expenses!$A$6:$A$605,"&gt;="&amp;DATE(Settings!$B$6,1,1),Expenses!$A$6:$A$605,"&lt;="&amp;DATE(Settings!$B$6,12,31))</f>
        <v>0</v>
      </c>
      <c r="G26" s="27" t="n">
        <f aca="false">SUMIFS(Expenses!$E$6:$E$605,Expenses!$D$6:$D$605,$A26,Expenses!$H$6:$H$605,6,Expenses!$A$6:$A$605,"&gt;="&amp;DATE(Settings!$B$6,1,1),Expenses!$A$6:$A$605,"&lt;="&amp;DATE(Settings!$B$6,12,31))</f>
        <v>0</v>
      </c>
      <c r="H26" s="27" t="n">
        <f aca="false">SUMIFS(Expenses!$E$6:$E$605,Expenses!$D$6:$D$605,$A26,Expenses!$H$6:$H$605,7,Expenses!$A$6:$A$605,"&gt;="&amp;DATE(Settings!$B$6,1,1),Expenses!$A$6:$A$605,"&lt;="&amp;DATE(Settings!$B$6,12,31))</f>
        <v>0</v>
      </c>
      <c r="I26" s="27" t="n">
        <f aca="false">SUMIFS(Expenses!$E$6:$E$605,Expenses!$D$6:$D$605,$A26,Expenses!$H$6:$H$605,8,Expenses!$A$6:$A$605,"&gt;="&amp;DATE(Settings!$B$6,1,1),Expenses!$A$6:$A$605,"&lt;="&amp;DATE(Settings!$B$6,12,31))</f>
        <v>0</v>
      </c>
      <c r="J26" s="27" t="n">
        <f aca="false">SUMIFS(Expenses!$E$6:$E$605,Expenses!$D$6:$D$605,$A26,Expenses!$H$6:$H$605,9,Expenses!$A$6:$A$605,"&gt;="&amp;DATE(Settings!$B$6,1,1),Expenses!$A$6:$A$605,"&lt;="&amp;DATE(Settings!$B$6,12,31))</f>
        <v>0</v>
      </c>
      <c r="K26" s="27" t="n">
        <f aca="false">SUMIFS(Expenses!$E$6:$E$605,Expenses!$D$6:$D$605,$A26,Expenses!$H$6:$H$605,10,Expenses!$A$6:$A$605,"&gt;="&amp;DATE(Settings!$B$6,1,1),Expenses!$A$6:$A$605,"&lt;="&amp;DATE(Settings!$B$6,12,31))</f>
        <v>0</v>
      </c>
      <c r="L26" s="27" t="n">
        <f aca="false">SUMIFS(Expenses!$E$6:$E$605,Expenses!$D$6:$D$605,$A26,Expenses!$H$6:$H$605,11,Expenses!$A$6:$A$605,"&gt;="&amp;DATE(Settings!$B$6,1,1),Expenses!$A$6:$A$605,"&lt;="&amp;DATE(Settings!$B$6,12,31))</f>
        <v>0</v>
      </c>
      <c r="M26" s="27" t="n">
        <f aca="false">SUMIFS(Expenses!$E$6:$E$605,Expenses!$D$6:$D$605,$A26,Expenses!$H$6:$H$605,12,Expenses!$A$6:$A$605,"&gt;="&amp;DATE(Settings!$B$6,1,1),Expenses!$A$6:$A$605,"&lt;="&amp;DATE(Settings!$B$6,12,31))</f>
        <v>0</v>
      </c>
      <c r="N26" s="28" t="n">
        <f aca="false">SUM(B26:M26)</f>
        <v>0</v>
      </c>
    </row>
    <row r="27" customFormat="false" ht="15" hidden="false" customHeight="false" outlineLevel="0" collapsed="false">
      <c r="A27" s="26" t="str">
        <f aca="false">Settings!D20</f>
        <v>Laundry and cleaning</v>
      </c>
      <c r="B27" s="27" t="n">
        <f aca="false">SUMIFS(Expenses!$E$6:$E$605,Expenses!$D$6:$D$605,$A27,Expenses!$H$6:$H$605,1,Expenses!$A$6:$A$605,"&gt;="&amp;DATE(Settings!$B$6,1,1),Expenses!$A$6:$A$605,"&lt;="&amp;DATE(Settings!$B$6,12,31))</f>
        <v>0</v>
      </c>
      <c r="C27" s="27" t="n">
        <f aca="false">SUMIFS(Expenses!$E$6:$E$605,Expenses!$D$6:$D$605,$A27,Expenses!$H$6:$H$605,2,Expenses!$A$6:$A$605,"&gt;="&amp;DATE(Settings!$B$6,1,1),Expenses!$A$6:$A$605,"&lt;="&amp;DATE(Settings!$B$6,12,31))</f>
        <v>0</v>
      </c>
      <c r="D27" s="27" t="n">
        <f aca="false">SUMIFS(Expenses!$E$6:$E$605,Expenses!$D$6:$D$605,$A27,Expenses!$H$6:$H$605,3,Expenses!$A$6:$A$605,"&gt;="&amp;DATE(Settings!$B$6,1,1),Expenses!$A$6:$A$605,"&lt;="&amp;DATE(Settings!$B$6,12,31))</f>
        <v>0</v>
      </c>
      <c r="E27" s="27" t="n">
        <f aca="false">SUMIFS(Expenses!$E$6:$E$605,Expenses!$D$6:$D$605,$A27,Expenses!$H$6:$H$605,4,Expenses!$A$6:$A$605,"&gt;="&amp;DATE(Settings!$B$6,1,1),Expenses!$A$6:$A$605,"&lt;="&amp;DATE(Settings!$B$6,12,31))</f>
        <v>0</v>
      </c>
      <c r="F27" s="27" t="n">
        <f aca="false">SUMIFS(Expenses!$E$6:$E$605,Expenses!$D$6:$D$605,$A27,Expenses!$H$6:$H$605,5,Expenses!$A$6:$A$605,"&gt;="&amp;DATE(Settings!$B$6,1,1),Expenses!$A$6:$A$605,"&lt;="&amp;DATE(Settings!$B$6,12,31))</f>
        <v>0</v>
      </c>
      <c r="G27" s="27" t="n">
        <f aca="false">SUMIFS(Expenses!$E$6:$E$605,Expenses!$D$6:$D$605,$A27,Expenses!$H$6:$H$605,6,Expenses!$A$6:$A$605,"&gt;="&amp;DATE(Settings!$B$6,1,1),Expenses!$A$6:$A$605,"&lt;="&amp;DATE(Settings!$B$6,12,31))</f>
        <v>0</v>
      </c>
      <c r="H27" s="27" t="n">
        <f aca="false">SUMIFS(Expenses!$E$6:$E$605,Expenses!$D$6:$D$605,$A27,Expenses!$H$6:$H$605,7,Expenses!$A$6:$A$605,"&gt;="&amp;DATE(Settings!$B$6,1,1),Expenses!$A$6:$A$605,"&lt;="&amp;DATE(Settings!$B$6,12,31))</f>
        <v>0</v>
      </c>
      <c r="I27" s="27" t="n">
        <f aca="false">SUMIFS(Expenses!$E$6:$E$605,Expenses!$D$6:$D$605,$A27,Expenses!$H$6:$H$605,8,Expenses!$A$6:$A$605,"&gt;="&amp;DATE(Settings!$B$6,1,1),Expenses!$A$6:$A$605,"&lt;="&amp;DATE(Settings!$B$6,12,31))</f>
        <v>0</v>
      </c>
      <c r="J27" s="27" t="n">
        <f aca="false">SUMIFS(Expenses!$E$6:$E$605,Expenses!$D$6:$D$605,$A27,Expenses!$H$6:$H$605,9,Expenses!$A$6:$A$605,"&gt;="&amp;DATE(Settings!$B$6,1,1),Expenses!$A$6:$A$605,"&lt;="&amp;DATE(Settings!$B$6,12,31))</f>
        <v>0</v>
      </c>
      <c r="K27" s="27" t="n">
        <f aca="false">SUMIFS(Expenses!$E$6:$E$605,Expenses!$D$6:$D$605,$A27,Expenses!$H$6:$H$605,10,Expenses!$A$6:$A$605,"&gt;="&amp;DATE(Settings!$B$6,1,1),Expenses!$A$6:$A$605,"&lt;="&amp;DATE(Settings!$B$6,12,31))</f>
        <v>0</v>
      </c>
      <c r="L27" s="27" t="n">
        <f aca="false">SUMIFS(Expenses!$E$6:$E$605,Expenses!$D$6:$D$605,$A27,Expenses!$H$6:$H$605,11,Expenses!$A$6:$A$605,"&gt;="&amp;DATE(Settings!$B$6,1,1),Expenses!$A$6:$A$605,"&lt;="&amp;DATE(Settings!$B$6,12,31))</f>
        <v>0</v>
      </c>
      <c r="M27" s="27" t="n">
        <f aca="false">SUMIFS(Expenses!$E$6:$E$605,Expenses!$D$6:$D$605,$A27,Expenses!$H$6:$H$605,12,Expenses!$A$6:$A$605,"&gt;="&amp;DATE(Settings!$B$6,1,1),Expenses!$A$6:$A$605,"&lt;="&amp;DATE(Settings!$B$6,12,31))</f>
        <v>0</v>
      </c>
      <c r="N27" s="28" t="n">
        <f aca="false">SUM(B27:M27)</f>
        <v>0</v>
      </c>
    </row>
    <row r="28" customFormat="false" ht="15" hidden="false" customHeight="false" outlineLevel="0" collapsed="false">
      <c r="A28" s="26" t="str">
        <f aca="false">Settings!D21</f>
        <v>Bank fees</v>
      </c>
      <c r="B28" s="27" t="n">
        <f aca="false">SUMIFS(Expenses!$E$6:$E$605,Expenses!$D$6:$D$605,$A28,Expenses!$H$6:$H$605,1,Expenses!$A$6:$A$605,"&gt;="&amp;DATE(Settings!$B$6,1,1),Expenses!$A$6:$A$605,"&lt;="&amp;DATE(Settings!$B$6,12,31))</f>
        <v>0</v>
      </c>
      <c r="C28" s="27" t="n">
        <f aca="false">SUMIFS(Expenses!$E$6:$E$605,Expenses!$D$6:$D$605,$A28,Expenses!$H$6:$H$605,2,Expenses!$A$6:$A$605,"&gt;="&amp;DATE(Settings!$B$6,1,1),Expenses!$A$6:$A$605,"&lt;="&amp;DATE(Settings!$B$6,12,31))</f>
        <v>0</v>
      </c>
      <c r="D28" s="27" t="n">
        <f aca="false">SUMIFS(Expenses!$E$6:$E$605,Expenses!$D$6:$D$605,$A28,Expenses!$H$6:$H$605,3,Expenses!$A$6:$A$605,"&gt;="&amp;DATE(Settings!$B$6,1,1),Expenses!$A$6:$A$605,"&lt;="&amp;DATE(Settings!$B$6,12,31))</f>
        <v>0</v>
      </c>
      <c r="E28" s="27" t="n">
        <f aca="false">SUMIFS(Expenses!$E$6:$E$605,Expenses!$D$6:$D$605,$A28,Expenses!$H$6:$H$605,4,Expenses!$A$6:$A$605,"&gt;="&amp;DATE(Settings!$B$6,1,1),Expenses!$A$6:$A$605,"&lt;="&amp;DATE(Settings!$B$6,12,31))</f>
        <v>0</v>
      </c>
      <c r="F28" s="27" t="n">
        <f aca="false">SUMIFS(Expenses!$E$6:$E$605,Expenses!$D$6:$D$605,$A28,Expenses!$H$6:$H$605,5,Expenses!$A$6:$A$605,"&gt;="&amp;DATE(Settings!$B$6,1,1),Expenses!$A$6:$A$605,"&lt;="&amp;DATE(Settings!$B$6,12,31))</f>
        <v>0</v>
      </c>
      <c r="G28" s="27" t="n">
        <f aca="false">SUMIFS(Expenses!$E$6:$E$605,Expenses!$D$6:$D$605,$A28,Expenses!$H$6:$H$605,6,Expenses!$A$6:$A$605,"&gt;="&amp;DATE(Settings!$B$6,1,1),Expenses!$A$6:$A$605,"&lt;="&amp;DATE(Settings!$B$6,12,31))</f>
        <v>0</v>
      </c>
      <c r="H28" s="27" t="n">
        <f aca="false">SUMIFS(Expenses!$E$6:$E$605,Expenses!$D$6:$D$605,$A28,Expenses!$H$6:$H$605,7,Expenses!$A$6:$A$605,"&gt;="&amp;DATE(Settings!$B$6,1,1),Expenses!$A$6:$A$605,"&lt;="&amp;DATE(Settings!$B$6,12,31))</f>
        <v>0</v>
      </c>
      <c r="I28" s="27" t="n">
        <f aca="false">SUMIFS(Expenses!$E$6:$E$605,Expenses!$D$6:$D$605,$A28,Expenses!$H$6:$H$605,8,Expenses!$A$6:$A$605,"&gt;="&amp;DATE(Settings!$B$6,1,1),Expenses!$A$6:$A$605,"&lt;="&amp;DATE(Settings!$B$6,12,31))</f>
        <v>0</v>
      </c>
      <c r="J28" s="27" t="n">
        <f aca="false">SUMIFS(Expenses!$E$6:$E$605,Expenses!$D$6:$D$605,$A28,Expenses!$H$6:$H$605,9,Expenses!$A$6:$A$605,"&gt;="&amp;DATE(Settings!$B$6,1,1),Expenses!$A$6:$A$605,"&lt;="&amp;DATE(Settings!$B$6,12,31))</f>
        <v>0</v>
      </c>
      <c r="K28" s="27" t="n">
        <f aca="false">SUMIFS(Expenses!$E$6:$E$605,Expenses!$D$6:$D$605,$A28,Expenses!$H$6:$H$605,10,Expenses!$A$6:$A$605,"&gt;="&amp;DATE(Settings!$B$6,1,1),Expenses!$A$6:$A$605,"&lt;="&amp;DATE(Settings!$B$6,12,31))</f>
        <v>0</v>
      </c>
      <c r="L28" s="27" t="n">
        <f aca="false">SUMIFS(Expenses!$E$6:$E$605,Expenses!$D$6:$D$605,$A28,Expenses!$H$6:$H$605,11,Expenses!$A$6:$A$605,"&gt;="&amp;DATE(Settings!$B$6,1,1),Expenses!$A$6:$A$605,"&lt;="&amp;DATE(Settings!$B$6,12,31))</f>
        <v>0</v>
      </c>
      <c r="M28" s="27" t="n">
        <f aca="false">SUMIFS(Expenses!$E$6:$E$605,Expenses!$D$6:$D$605,$A28,Expenses!$H$6:$H$605,12,Expenses!$A$6:$A$605,"&gt;="&amp;DATE(Settings!$B$6,1,1),Expenses!$A$6:$A$605,"&lt;="&amp;DATE(Settings!$B$6,12,31))</f>
        <v>0</v>
      </c>
      <c r="N28" s="28" t="n">
        <f aca="false">SUM(B28:M28)</f>
        <v>0</v>
      </c>
    </row>
    <row r="29" customFormat="false" ht="15" hidden="false" customHeight="false" outlineLevel="0" collapsed="false">
      <c r="A29" s="26" t="str">
        <f aca="false">Settings!D22</f>
        <v>Phone and internet</v>
      </c>
      <c r="B29" s="27" t="n">
        <f aca="false">SUMIFS(Expenses!$E$6:$E$605,Expenses!$D$6:$D$605,$A29,Expenses!$H$6:$H$605,1,Expenses!$A$6:$A$605,"&gt;="&amp;DATE(Settings!$B$6,1,1),Expenses!$A$6:$A$605,"&lt;="&amp;DATE(Settings!$B$6,12,31))</f>
        <v>0</v>
      </c>
      <c r="C29" s="27" t="n">
        <f aca="false">SUMIFS(Expenses!$E$6:$E$605,Expenses!$D$6:$D$605,$A29,Expenses!$H$6:$H$605,2,Expenses!$A$6:$A$605,"&gt;="&amp;DATE(Settings!$B$6,1,1),Expenses!$A$6:$A$605,"&lt;="&amp;DATE(Settings!$B$6,12,31))</f>
        <v>0</v>
      </c>
      <c r="D29" s="27" t="n">
        <f aca="false">SUMIFS(Expenses!$E$6:$E$605,Expenses!$D$6:$D$605,$A29,Expenses!$H$6:$H$605,3,Expenses!$A$6:$A$605,"&gt;="&amp;DATE(Settings!$B$6,1,1),Expenses!$A$6:$A$605,"&lt;="&amp;DATE(Settings!$B$6,12,31))</f>
        <v>0</v>
      </c>
      <c r="E29" s="27" t="n">
        <f aca="false">SUMIFS(Expenses!$E$6:$E$605,Expenses!$D$6:$D$605,$A29,Expenses!$H$6:$H$605,4,Expenses!$A$6:$A$605,"&gt;="&amp;DATE(Settings!$B$6,1,1),Expenses!$A$6:$A$605,"&lt;="&amp;DATE(Settings!$B$6,12,31))</f>
        <v>0</v>
      </c>
      <c r="F29" s="27" t="n">
        <f aca="false">SUMIFS(Expenses!$E$6:$E$605,Expenses!$D$6:$D$605,$A29,Expenses!$H$6:$H$605,5,Expenses!$A$6:$A$605,"&gt;="&amp;DATE(Settings!$B$6,1,1),Expenses!$A$6:$A$605,"&lt;="&amp;DATE(Settings!$B$6,12,31))</f>
        <v>0</v>
      </c>
      <c r="G29" s="27" t="n">
        <f aca="false">SUMIFS(Expenses!$E$6:$E$605,Expenses!$D$6:$D$605,$A29,Expenses!$H$6:$H$605,6,Expenses!$A$6:$A$605,"&gt;="&amp;DATE(Settings!$B$6,1,1),Expenses!$A$6:$A$605,"&lt;="&amp;DATE(Settings!$B$6,12,31))</f>
        <v>0</v>
      </c>
      <c r="H29" s="27" t="n">
        <f aca="false">SUMIFS(Expenses!$E$6:$E$605,Expenses!$D$6:$D$605,$A29,Expenses!$H$6:$H$605,7,Expenses!$A$6:$A$605,"&gt;="&amp;DATE(Settings!$B$6,1,1),Expenses!$A$6:$A$605,"&lt;="&amp;DATE(Settings!$B$6,12,31))</f>
        <v>0</v>
      </c>
      <c r="I29" s="27" t="n">
        <f aca="false">SUMIFS(Expenses!$E$6:$E$605,Expenses!$D$6:$D$605,$A29,Expenses!$H$6:$H$605,8,Expenses!$A$6:$A$605,"&gt;="&amp;DATE(Settings!$B$6,1,1),Expenses!$A$6:$A$605,"&lt;="&amp;DATE(Settings!$B$6,12,31))</f>
        <v>0</v>
      </c>
      <c r="J29" s="27" t="n">
        <f aca="false">SUMIFS(Expenses!$E$6:$E$605,Expenses!$D$6:$D$605,$A29,Expenses!$H$6:$H$605,9,Expenses!$A$6:$A$605,"&gt;="&amp;DATE(Settings!$B$6,1,1),Expenses!$A$6:$A$605,"&lt;="&amp;DATE(Settings!$B$6,12,31))</f>
        <v>0</v>
      </c>
      <c r="K29" s="27" t="n">
        <f aca="false">SUMIFS(Expenses!$E$6:$E$605,Expenses!$D$6:$D$605,$A29,Expenses!$H$6:$H$605,10,Expenses!$A$6:$A$605,"&gt;="&amp;DATE(Settings!$B$6,1,1),Expenses!$A$6:$A$605,"&lt;="&amp;DATE(Settings!$B$6,12,31))</f>
        <v>0</v>
      </c>
      <c r="L29" s="27" t="n">
        <f aca="false">SUMIFS(Expenses!$E$6:$E$605,Expenses!$D$6:$D$605,$A29,Expenses!$H$6:$H$605,11,Expenses!$A$6:$A$605,"&gt;="&amp;DATE(Settings!$B$6,1,1),Expenses!$A$6:$A$605,"&lt;="&amp;DATE(Settings!$B$6,12,31))</f>
        <v>0</v>
      </c>
      <c r="M29" s="27" t="n">
        <f aca="false">SUMIFS(Expenses!$E$6:$E$605,Expenses!$D$6:$D$605,$A29,Expenses!$H$6:$H$605,12,Expenses!$A$6:$A$605,"&gt;="&amp;DATE(Settings!$B$6,1,1),Expenses!$A$6:$A$605,"&lt;="&amp;DATE(Settings!$B$6,12,31))</f>
        <v>0</v>
      </c>
      <c r="N29" s="28" t="n">
        <f aca="false">SUM(B29:M29)</f>
        <v>0</v>
      </c>
    </row>
    <row r="30" customFormat="false" ht="15" hidden="false" customHeight="false" outlineLevel="0" collapsed="false">
      <c r="A30" s="26" t="str">
        <f aca="false">Settings!D23</f>
        <v>Car and mileage</v>
      </c>
      <c r="B30" s="27" t="n">
        <f aca="false">SUMIFS(Expenses!$E$6:$E$605,Expenses!$D$6:$D$605,$A30,Expenses!$H$6:$H$605,1,Expenses!$A$6:$A$605,"&gt;="&amp;DATE(Settings!$B$6,1,1),Expenses!$A$6:$A$605,"&lt;="&amp;DATE(Settings!$B$6,12,31))</f>
        <v>0</v>
      </c>
      <c r="C30" s="27" t="n">
        <f aca="false">SUMIFS(Expenses!$E$6:$E$605,Expenses!$D$6:$D$605,$A30,Expenses!$H$6:$H$605,2,Expenses!$A$6:$A$605,"&gt;="&amp;DATE(Settings!$B$6,1,1),Expenses!$A$6:$A$605,"&lt;="&amp;DATE(Settings!$B$6,12,31))</f>
        <v>0</v>
      </c>
      <c r="D30" s="27" t="n">
        <f aca="false">SUMIFS(Expenses!$E$6:$E$605,Expenses!$D$6:$D$605,$A30,Expenses!$H$6:$H$605,3,Expenses!$A$6:$A$605,"&gt;="&amp;DATE(Settings!$B$6,1,1),Expenses!$A$6:$A$605,"&lt;="&amp;DATE(Settings!$B$6,12,31))</f>
        <v>0</v>
      </c>
      <c r="E30" s="27" t="n">
        <f aca="false">SUMIFS(Expenses!$E$6:$E$605,Expenses!$D$6:$D$605,$A30,Expenses!$H$6:$H$605,4,Expenses!$A$6:$A$605,"&gt;="&amp;DATE(Settings!$B$6,1,1),Expenses!$A$6:$A$605,"&lt;="&amp;DATE(Settings!$B$6,12,31))</f>
        <v>0</v>
      </c>
      <c r="F30" s="27" t="n">
        <f aca="false">SUMIFS(Expenses!$E$6:$E$605,Expenses!$D$6:$D$605,$A30,Expenses!$H$6:$H$605,5,Expenses!$A$6:$A$605,"&gt;="&amp;DATE(Settings!$B$6,1,1),Expenses!$A$6:$A$605,"&lt;="&amp;DATE(Settings!$B$6,12,31))</f>
        <v>0</v>
      </c>
      <c r="G30" s="27" t="n">
        <f aca="false">SUMIFS(Expenses!$E$6:$E$605,Expenses!$D$6:$D$605,$A30,Expenses!$H$6:$H$605,6,Expenses!$A$6:$A$605,"&gt;="&amp;DATE(Settings!$B$6,1,1),Expenses!$A$6:$A$605,"&lt;="&amp;DATE(Settings!$B$6,12,31))</f>
        <v>0</v>
      </c>
      <c r="H30" s="27" t="n">
        <f aca="false">SUMIFS(Expenses!$E$6:$E$605,Expenses!$D$6:$D$605,$A30,Expenses!$H$6:$H$605,7,Expenses!$A$6:$A$605,"&gt;="&amp;DATE(Settings!$B$6,1,1),Expenses!$A$6:$A$605,"&lt;="&amp;DATE(Settings!$B$6,12,31))</f>
        <v>0</v>
      </c>
      <c r="I30" s="27" t="n">
        <f aca="false">SUMIFS(Expenses!$E$6:$E$605,Expenses!$D$6:$D$605,$A30,Expenses!$H$6:$H$605,8,Expenses!$A$6:$A$605,"&gt;="&amp;DATE(Settings!$B$6,1,1),Expenses!$A$6:$A$605,"&lt;="&amp;DATE(Settings!$B$6,12,31))</f>
        <v>0</v>
      </c>
      <c r="J30" s="27" t="n">
        <f aca="false">SUMIFS(Expenses!$E$6:$E$605,Expenses!$D$6:$D$605,$A30,Expenses!$H$6:$H$605,9,Expenses!$A$6:$A$605,"&gt;="&amp;DATE(Settings!$B$6,1,1),Expenses!$A$6:$A$605,"&lt;="&amp;DATE(Settings!$B$6,12,31))</f>
        <v>0</v>
      </c>
      <c r="K30" s="27" t="n">
        <f aca="false">SUMIFS(Expenses!$E$6:$E$605,Expenses!$D$6:$D$605,$A30,Expenses!$H$6:$H$605,10,Expenses!$A$6:$A$605,"&gt;="&amp;DATE(Settings!$B$6,1,1),Expenses!$A$6:$A$605,"&lt;="&amp;DATE(Settings!$B$6,12,31))</f>
        <v>0</v>
      </c>
      <c r="L30" s="27" t="n">
        <f aca="false">SUMIFS(Expenses!$E$6:$E$605,Expenses!$D$6:$D$605,$A30,Expenses!$H$6:$H$605,11,Expenses!$A$6:$A$605,"&gt;="&amp;DATE(Settings!$B$6,1,1),Expenses!$A$6:$A$605,"&lt;="&amp;DATE(Settings!$B$6,12,31))</f>
        <v>0</v>
      </c>
      <c r="M30" s="27" t="n">
        <f aca="false">SUMIFS(Expenses!$E$6:$E$605,Expenses!$D$6:$D$605,$A30,Expenses!$H$6:$H$605,12,Expenses!$A$6:$A$605,"&gt;="&amp;DATE(Settings!$B$6,1,1),Expenses!$A$6:$A$605,"&lt;="&amp;DATE(Settings!$B$6,12,31))</f>
        <v>0</v>
      </c>
      <c r="N30" s="28" t="n">
        <f aca="false">SUM(B30:M30)</f>
        <v>0</v>
      </c>
    </row>
    <row r="31" customFormat="false" ht="15" hidden="false" customHeight="false" outlineLevel="0" collapsed="false">
      <c r="A31" s="26" t="str">
        <f aca="false">Settings!D24</f>
        <v>Other</v>
      </c>
      <c r="B31" s="27" t="n">
        <f aca="false">SUMIFS(Expenses!$E$6:$E$605,Expenses!$D$6:$D$605,$A31,Expenses!$H$6:$H$605,1,Expenses!$A$6:$A$605,"&gt;="&amp;DATE(Settings!$B$6,1,1),Expenses!$A$6:$A$605,"&lt;="&amp;DATE(Settings!$B$6,12,31))</f>
        <v>0</v>
      </c>
      <c r="C31" s="27" t="n">
        <f aca="false">SUMIFS(Expenses!$E$6:$E$605,Expenses!$D$6:$D$605,$A31,Expenses!$H$6:$H$605,2,Expenses!$A$6:$A$605,"&gt;="&amp;DATE(Settings!$B$6,1,1),Expenses!$A$6:$A$605,"&lt;="&amp;DATE(Settings!$B$6,12,31))</f>
        <v>0</v>
      </c>
      <c r="D31" s="27" t="n">
        <f aca="false">SUMIFS(Expenses!$E$6:$E$605,Expenses!$D$6:$D$605,$A31,Expenses!$H$6:$H$605,3,Expenses!$A$6:$A$605,"&gt;="&amp;DATE(Settings!$B$6,1,1),Expenses!$A$6:$A$605,"&lt;="&amp;DATE(Settings!$B$6,12,31))</f>
        <v>0</v>
      </c>
      <c r="E31" s="27" t="n">
        <f aca="false">SUMIFS(Expenses!$E$6:$E$605,Expenses!$D$6:$D$605,$A31,Expenses!$H$6:$H$605,4,Expenses!$A$6:$A$605,"&gt;="&amp;DATE(Settings!$B$6,1,1),Expenses!$A$6:$A$605,"&lt;="&amp;DATE(Settings!$B$6,12,31))</f>
        <v>0</v>
      </c>
      <c r="F31" s="27" t="n">
        <f aca="false">SUMIFS(Expenses!$E$6:$E$605,Expenses!$D$6:$D$605,$A31,Expenses!$H$6:$H$605,5,Expenses!$A$6:$A$605,"&gt;="&amp;DATE(Settings!$B$6,1,1),Expenses!$A$6:$A$605,"&lt;="&amp;DATE(Settings!$B$6,12,31))</f>
        <v>0</v>
      </c>
      <c r="G31" s="27" t="n">
        <f aca="false">SUMIFS(Expenses!$E$6:$E$605,Expenses!$D$6:$D$605,$A31,Expenses!$H$6:$H$605,6,Expenses!$A$6:$A$605,"&gt;="&amp;DATE(Settings!$B$6,1,1),Expenses!$A$6:$A$605,"&lt;="&amp;DATE(Settings!$B$6,12,31))</f>
        <v>0</v>
      </c>
      <c r="H31" s="27" t="n">
        <f aca="false">SUMIFS(Expenses!$E$6:$E$605,Expenses!$D$6:$D$605,$A31,Expenses!$H$6:$H$605,7,Expenses!$A$6:$A$605,"&gt;="&amp;DATE(Settings!$B$6,1,1),Expenses!$A$6:$A$605,"&lt;="&amp;DATE(Settings!$B$6,12,31))</f>
        <v>0</v>
      </c>
      <c r="I31" s="27" t="n">
        <f aca="false">SUMIFS(Expenses!$E$6:$E$605,Expenses!$D$6:$D$605,$A31,Expenses!$H$6:$H$605,8,Expenses!$A$6:$A$605,"&gt;="&amp;DATE(Settings!$B$6,1,1),Expenses!$A$6:$A$605,"&lt;="&amp;DATE(Settings!$B$6,12,31))</f>
        <v>0</v>
      </c>
      <c r="J31" s="27" t="n">
        <f aca="false">SUMIFS(Expenses!$E$6:$E$605,Expenses!$D$6:$D$605,$A31,Expenses!$H$6:$H$605,9,Expenses!$A$6:$A$605,"&gt;="&amp;DATE(Settings!$B$6,1,1),Expenses!$A$6:$A$605,"&lt;="&amp;DATE(Settings!$B$6,12,31))</f>
        <v>0</v>
      </c>
      <c r="K31" s="27" t="n">
        <f aca="false">SUMIFS(Expenses!$E$6:$E$605,Expenses!$D$6:$D$605,$A31,Expenses!$H$6:$H$605,10,Expenses!$A$6:$A$605,"&gt;="&amp;DATE(Settings!$B$6,1,1),Expenses!$A$6:$A$605,"&lt;="&amp;DATE(Settings!$B$6,12,31))</f>
        <v>0</v>
      </c>
      <c r="L31" s="27" t="n">
        <f aca="false">SUMIFS(Expenses!$E$6:$E$605,Expenses!$D$6:$D$605,$A31,Expenses!$H$6:$H$605,11,Expenses!$A$6:$A$605,"&gt;="&amp;DATE(Settings!$B$6,1,1),Expenses!$A$6:$A$605,"&lt;="&amp;DATE(Settings!$B$6,12,31))</f>
        <v>0</v>
      </c>
      <c r="M31" s="27" t="n">
        <f aca="false">SUMIFS(Expenses!$E$6:$E$605,Expenses!$D$6:$D$605,$A31,Expenses!$H$6:$H$605,12,Expenses!$A$6:$A$605,"&gt;="&amp;DATE(Settings!$B$6,1,1),Expenses!$A$6:$A$605,"&lt;="&amp;DATE(Settings!$B$6,12,31))</f>
        <v>0</v>
      </c>
      <c r="N31" s="28" t="n">
        <f aca="false">SUM(B31:M31)</f>
        <v>0</v>
      </c>
    </row>
    <row r="32" customFormat="false" ht="15" hidden="false" customHeight="false" outlineLevel="0" collapsed="false">
      <c r="A32" s="23" t="s">
        <v>122</v>
      </c>
      <c r="B32" s="29" t="n">
        <f aca="false">SUM(B18:B31)</f>
        <v>90.91</v>
      </c>
      <c r="C32" s="29" t="n">
        <f aca="false">SUM(C18:C31)</f>
        <v>0</v>
      </c>
      <c r="D32" s="29" t="n">
        <f aca="false">SUM(D18:D31)</f>
        <v>0</v>
      </c>
      <c r="E32" s="29" t="n">
        <f aca="false">SUM(E18:E31)</f>
        <v>0</v>
      </c>
      <c r="F32" s="29" t="n">
        <f aca="false">SUM(F18:F31)</f>
        <v>0</v>
      </c>
      <c r="G32" s="29" t="n">
        <f aca="false">SUM(G18:G31)</f>
        <v>0</v>
      </c>
      <c r="H32" s="29" t="n">
        <f aca="false">SUM(H18:H31)</f>
        <v>0</v>
      </c>
      <c r="I32" s="29" t="n">
        <f aca="false">SUM(I18:I31)</f>
        <v>0</v>
      </c>
      <c r="J32" s="29" t="n">
        <f aca="false">SUM(J18:J31)</f>
        <v>0</v>
      </c>
      <c r="K32" s="29" t="n">
        <f aca="false">SUM(K18:K31)</f>
        <v>0</v>
      </c>
      <c r="L32" s="29" t="n">
        <f aca="false">SUM(L18:L31)</f>
        <v>0</v>
      </c>
      <c r="M32" s="29" t="n">
        <f aca="false">SUM(M18:M31)</f>
        <v>0</v>
      </c>
      <c r="N32" s="29" t="n">
        <f aca="false">SUM(N18:N31)</f>
        <v>90.91</v>
      </c>
    </row>
    <row r="34" customFormat="false" ht="15" hidden="false" customHeight="false" outlineLevel="0" collapsed="false">
      <c r="A34" s="30" t="s">
        <v>123</v>
      </c>
      <c r="B34" s="31" t="n">
        <f aca="false">B15-B32</f>
        <v>54.09</v>
      </c>
      <c r="C34" s="31" t="n">
        <f aca="false">C15-C32</f>
        <v>0</v>
      </c>
      <c r="D34" s="31" t="n">
        <f aca="false">D15-D32</f>
        <v>0</v>
      </c>
      <c r="E34" s="31" t="n">
        <f aca="false">E15-E32</f>
        <v>0</v>
      </c>
      <c r="F34" s="31" t="n">
        <f aca="false">F15-F32</f>
        <v>0</v>
      </c>
      <c r="G34" s="31" t="n">
        <f aca="false">G15-G32</f>
        <v>0</v>
      </c>
      <c r="H34" s="31" t="n">
        <f aca="false">H15-H32</f>
        <v>0</v>
      </c>
      <c r="I34" s="31" t="n">
        <f aca="false">I15-I32</f>
        <v>0</v>
      </c>
      <c r="J34" s="31" t="n">
        <f aca="false">J15-J32</f>
        <v>0</v>
      </c>
      <c r="K34" s="31" t="n">
        <f aca="false">K15-K32</f>
        <v>0</v>
      </c>
      <c r="L34" s="31" t="n">
        <f aca="false">L15-L32</f>
        <v>0</v>
      </c>
      <c r="M34" s="31" t="n">
        <f aca="false">M15-M32</f>
        <v>0</v>
      </c>
      <c r="N34" s="31" t="n">
        <f aca="false">N15-N32</f>
        <v>54.09</v>
      </c>
    </row>
    <row r="35" customFormat="false" ht="15" hidden="false" customHeight="false" outlineLevel="0" collapsed="false">
      <c r="A35" s="12" t="s">
        <v>30</v>
      </c>
      <c r="B35" s="27" t="n">
        <f aca="false">MAX(0,B34)*Settings!$B$7</f>
        <v>13.5225</v>
      </c>
      <c r="C35" s="27" t="n">
        <f aca="false">MAX(0,C34)*Settings!$B$7</f>
        <v>0</v>
      </c>
      <c r="D35" s="27" t="n">
        <f aca="false">MAX(0,D34)*Settings!$B$7</f>
        <v>0</v>
      </c>
      <c r="E35" s="27" t="n">
        <f aca="false">MAX(0,E34)*Settings!$B$7</f>
        <v>0</v>
      </c>
      <c r="F35" s="27" t="n">
        <f aca="false">MAX(0,F34)*Settings!$B$7</f>
        <v>0</v>
      </c>
      <c r="G35" s="27" t="n">
        <f aca="false">MAX(0,G34)*Settings!$B$7</f>
        <v>0</v>
      </c>
      <c r="H35" s="27" t="n">
        <f aca="false">MAX(0,H34)*Settings!$B$7</f>
        <v>0</v>
      </c>
      <c r="I35" s="27" t="n">
        <f aca="false">MAX(0,I34)*Settings!$B$7</f>
        <v>0</v>
      </c>
      <c r="J35" s="27" t="n">
        <f aca="false">MAX(0,J34)*Settings!$B$7</f>
        <v>0</v>
      </c>
      <c r="K35" s="27" t="n">
        <f aca="false">MAX(0,K34)*Settings!$B$7</f>
        <v>0</v>
      </c>
      <c r="L35" s="27" t="n">
        <f aca="false">MAX(0,L34)*Settings!$B$7</f>
        <v>0</v>
      </c>
      <c r="M35" s="27" t="n">
        <f aca="false">MAX(0,M34)*Settings!$B$7</f>
        <v>0</v>
      </c>
      <c r="N35" s="27" t="n">
        <f aca="false">MAX(0,N34)*Settings!$B$7</f>
        <v>13.5225</v>
      </c>
    </row>
    <row r="36" customFormat="false" ht="15" hidden="false" customHeight="false" outlineLevel="0" collapsed="false">
      <c r="A36" s="23" t="s">
        <v>124</v>
      </c>
      <c r="B36" s="28" t="n">
        <f aca="false">B34-B35</f>
        <v>40.5675</v>
      </c>
      <c r="C36" s="28" t="n">
        <f aca="false">C34-C35</f>
        <v>0</v>
      </c>
      <c r="D36" s="28" t="n">
        <f aca="false">D34-D35</f>
        <v>0</v>
      </c>
      <c r="E36" s="28" t="n">
        <f aca="false">E34-E35</f>
        <v>0</v>
      </c>
      <c r="F36" s="28" t="n">
        <f aca="false">F34-F35</f>
        <v>0</v>
      </c>
      <c r="G36" s="28" t="n">
        <f aca="false">G34-G35</f>
        <v>0</v>
      </c>
      <c r="H36" s="28" t="n">
        <f aca="false">H34-H35</f>
        <v>0</v>
      </c>
      <c r="I36" s="28" t="n">
        <f aca="false">I34-I35</f>
        <v>0</v>
      </c>
      <c r="J36" s="28" t="n">
        <f aca="false">J34-J35</f>
        <v>0</v>
      </c>
      <c r="K36" s="28" t="n">
        <f aca="false">K34-K35</f>
        <v>0</v>
      </c>
      <c r="L36" s="28" t="n">
        <f aca="false">L34-L35</f>
        <v>0</v>
      </c>
      <c r="M36" s="28" t="n">
        <f aca="false">M34-M35</f>
        <v>0</v>
      </c>
      <c r="N36" s="28" t="n">
        <f aca="false">N34-N35</f>
        <v>40.5675</v>
      </c>
    </row>
    <row r="37" customFormat="false" ht="15" hidden="false" customHeight="false" outlineLevel="0" collapsed="false">
      <c r="A37" s="12" t="s">
        <v>125</v>
      </c>
      <c r="B37" s="22" t="n">
        <f aca="false">IF(B15=0,0,B34/B15)</f>
        <v>0.373034482758621</v>
      </c>
      <c r="C37" s="22" t="n">
        <f aca="false">IF(C15=0,0,C34/C15)</f>
        <v>0</v>
      </c>
      <c r="D37" s="22" t="n">
        <f aca="false">IF(D15=0,0,D34/D15)</f>
        <v>0</v>
      </c>
      <c r="E37" s="22" t="n">
        <f aca="false">IF(E15=0,0,E34/E15)</f>
        <v>0</v>
      </c>
      <c r="F37" s="22" t="n">
        <f aca="false">IF(F15=0,0,F34/F15)</f>
        <v>0</v>
      </c>
      <c r="G37" s="22" t="n">
        <f aca="false">IF(G15=0,0,G34/G15)</f>
        <v>0</v>
      </c>
      <c r="H37" s="22" t="n">
        <f aca="false">IF(H15=0,0,H34/H15)</f>
        <v>0</v>
      </c>
      <c r="I37" s="22" t="n">
        <f aca="false">IF(I15=0,0,I34/I15)</f>
        <v>0</v>
      </c>
      <c r="J37" s="22" t="n">
        <f aca="false">IF(J15=0,0,J34/J15)</f>
        <v>0</v>
      </c>
      <c r="K37" s="22" t="n">
        <f aca="false">IF(K15=0,0,K34/K15)</f>
        <v>0</v>
      </c>
      <c r="L37" s="22" t="n">
        <f aca="false">IF(L15=0,0,L34/L15)</f>
        <v>0</v>
      </c>
      <c r="M37" s="22" t="n">
        <f aca="false">IF(M15=0,0,M34/M15)</f>
        <v>0</v>
      </c>
      <c r="N37" s="22" t="n">
        <f aca="false">IF(N15=0,0,N34/N15)</f>
        <v>0.373034482758621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B7E"/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21.75" hidden="false" customHeight="true" outlineLevel="0" collapsed="false">
      <c r="A4" s="3" t="s">
        <v>128</v>
      </c>
      <c r="B4" s="4"/>
      <c r="C4" s="4"/>
    </row>
    <row r="5" customFormat="false" ht="15" hidden="false" customHeight="false" outlineLevel="0" collapsed="false">
      <c r="A5" s="32" t="s">
        <v>119</v>
      </c>
      <c r="B5" s="33" t="n">
        <f aca="false">'Month by Month'!N15</f>
        <v>145</v>
      </c>
    </row>
    <row r="6" customFormat="false" ht="15" hidden="false" customHeight="false" outlineLevel="0" collapsed="false">
      <c r="A6" s="32" t="s">
        <v>122</v>
      </c>
      <c r="B6" s="33" t="n">
        <f aca="false">'Month by Month'!N32</f>
        <v>90.91</v>
      </c>
    </row>
    <row r="7" customFormat="false" ht="15" hidden="false" customHeight="false" outlineLevel="0" collapsed="false">
      <c r="A7" s="34" t="s">
        <v>123</v>
      </c>
      <c r="B7" s="35" t="n">
        <f aca="false">'Month by Month'!N34</f>
        <v>54.09</v>
      </c>
    </row>
    <row r="8" customFormat="false" ht="15" hidden="false" customHeight="false" outlineLevel="0" collapsed="false">
      <c r="A8" s="32" t="s">
        <v>30</v>
      </c>
      <c r="B8" s="33" t="n">
        <f aca="false">'Month by Month'!N35</f>
        <v>13.5225</v>
      </c>
      <c r="C8" s="15" t="s">
        <v>129</v>
      </c>
    </row>
    <row r="9" customFormat="false" ht="15" hidden="false" customHeight="false" outlineLevel="0" collapsed="false">
      <c r="A9" s="34" t="s">
        <v>124</v>
      </c>
      <c r="B9" s="35" t="n">
        <f aca="false">'Month by Month'!N36</f>
        <v>40.5675</v>
      </c>
    </row>
    <row r="10" customFormat="false" ht="15" hidden="false" customHeight="false" outlineLevel="0" collapsed="false">
      <c r="A10" s="32" t="s">
        <v>125</v>
      </c>
      <c r="B10" s="36" t="n">
        <f aca="false">IF(B5=0,0,B7/B5)</f>
        <v>0.373034482758621</v>
      </c>
    </row>
    <row r="11" customFormat="false" ht="15" hidden="false" customHeight="false" outlineLevel="0" collapsed="false">
      <c r="A11" s="32" t="s">
        <v>130</v>
      </c>
      <c r="B11" s="33" t="n">
        <f aca="false">IF(COUNTIF('Month by Month'!B15:M15,"&lt;&gt;0")=0,0,B7/COUNTIF('Month by Month'!B15:M15,"&lt;&gt;0"))</f>
        <v>54.09</v>
      </c>
    </row>
    <row r="12" customFormat="false" ht="15" hidden="false" customHeight="false" outlineLevel="0" collapsed="false">
      <c r="A12" s="32" t="s">
        <v>131</v>
      </c>
      <c r="B12" s="37" t="str">
        <f aca="false">IF(MAX('Month by Month'!B34:M34)=0,"-",INDEX('Month by Month'!B4:M4,MATCH(MAX('Month by Month'!B34:M34),'Month by Month'!B34:M34,0)))</f>
        <v>JAN</v>
      </c>
    </row>
    <row r="13" customFormat="false" ht="15" hidden="false" customHeight="false" outlineLevel="0" collapsed="false">
      <c r="A13" s="32" t="s">
        <v>132</v>
      </c>
      <c r="B13" s="37" t="str">
        <f aca="false">IF(MAX('Month by Month'!N6:N13)=0,"-",INDEX('Month by Month'!A6:A13,MATCH(MAX('Month by Month'!N6:N13),'Month by Month'!N6:N13,0)))</f>
        <v>Facials</v>
      </c>
    </row>
    <row r="14" customFormat="false" ht="15" hidden="false" customHeight="false" outlineLevel="0" collapsed="false">
      <c r="A14" s="32" t="s">
        <v>133</v>
      </c>
      <c r="B14" s="37" t="str">
        <f aca="false">IF(MAX('Month by Month'!N18:N31)=0,"-",INDEX('Month by Month'!A18:A31,MATCH(MAX('Month by Month'!N18:N31),'Month by Month'!N18:N31,0)))</f>
        <v>Backbar supplies</v>
      </c>
    </row>
    <row r="15" customFormat="false" ht="15" hidden="false" customHeight="false" outlineLevel="0" collapsed="false">
      <c r="A15" s="32" t="s">
        <v>134</v>
      </c>
      <c r="B15" s="33" t="n">
        <f aca="false">Products!J108</f>
        <v>84</v>
      </c>
    </row>
    <row r="18" customFormat="false" ht="15" hidden="false" customHeight="false" outlineLevel="0" collapsed="false">
      <c r="C18" s="15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2026-09-28T05:28:11Z</dcterms:created>
  <dc:creator>openpyxl</dc:creator>
  <dc:description/>
  <dc:language>en-US</dc:language>
  <cp:lastModifiedBy/>
  <dcterms:modified xsi:type="dcterms:W3CDTF">2026-09-28T05:28:11Z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
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Calculator" sheetId="2" state="visible" r:id="rId4"/>
    <sheet name="Your First Year" sheetId="3" state="visible" r:id="rId5"/>
    <sheet name="Price Te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<sst xmlns="http://schemas.openxmlformats.org/spreadsheetml/2006/main" count="133" uniqueCount="133">
  <si>
    <t xml:space="preserve">Membership Pricing Calculator</t>
  </si>
  <si>
    <t xml:space="preserve">Made by a licensed esthetician. Works in Excel, Google Sheets and Numbers.</t>
  </si>
  <si>
    <t xml:space="preserve">HOW TO USE IT</t>
  </si>
  <si>
    <t xml:space="preserve">Step 1</t>
  </si>
  <si>
    <t xml:space="preserve">Go to the Calculator tab. Put in your monthly costs (rent, insurance, software and so on).</t>
  </si>
  <si>
    <t xml:space="preserve">Step 2</t>
  </si>
  <si>
    <t xml:space="preserve">Set up to three tiers: the price, the facial that's included, what it costs you to do, and the perks.</t>
  </si>
  <si>
    <t xml:space="preserve">Step 3</t>
  </si>
  <si>
    <t xml:space="preserve">Read The Answers: what each member is worth, how many you need to cover your costs, and how many to pay you.</t>
  </si>
  <si>
    <t xml:space="preserve">Step 4</t>
  </si>
  <si>
    <t xml:space="preserve">Open Your First Year to see how fast you get there with steady sign-ups and a few cancellations.</t>
  </si>
  <si>
    <t xml:space="preserve">Step 5</t>
  </si>
  <si>
    <t xml:space="preserve">Use Price Test to compare prices before you announce them.</t>
  </si>
  <si>
    <t xml:space="preserve">WHICH CELLS TO CHANGE</t>
  </si>
  <si>
    <t xml:space="preserve">Blue text</t>
  </si>
  <si>
    <t xml:space="preserve">Your numbers. Change these.</t>
  </si>
  <si>
    <t xml:space="preserve">Yellow cell</t>
  </si>
  <si>
    <t xml:space="preserve">The most important inputs.</t>
  </si>
  <si>
    <t xml:space="preserve">Black text</t>
  </si>
  <si>
    <t xml:space="preserve">Calculated for you. Leave these alone.</t>
  </si>
  <si>
    <t xml:space="preserve">GOOD TO KNOW</t>
  </si>
  <si>
    <t xml:space="preserve">The example numbers are modeled on a small studio in Los Angeles. They are a starting point, not advice. Every number in blue is yours to change.</t>
  </si>
  <si>
    <t xml:space="preserve">MADE BY</t>
  </si>
  <si>
    <t xml:space="preserve">Evelyn Romero, licensed esthetician, Lumevina Aesthetics. Questions? Message us on Etsy.</t>
  </si>
  <si>
    <t xml:space="preserve">Membership Calculator</t>
  </si>
  <si>
    <t xml:space="preserve">Every blue number is an example. Replace it with yours.</t>
  </si>
  <si>
    <t xml:space="preserve">YOUR MONTHLY COSTS</t>
  </si>
  <si>
    <t xml:space="preserve">Rent and utilities</t>
  </si>
  <si>
    <t xml:space="preserve">Suite or room rent, plus power and water if you pay them.</t>
  </si>
  <si>
    <t xml:space="preserve">Insurance and license</t>
  </si>
  <si>
    <t xml:space="preserve">Liability insurance and license renewals, spread monthly.</t>
  </si>
  <si>
    <t xml:space="preserve">Booking software and website</t>
  </si>
  <si>
    <t xml:space="preserve">Booking app, website, email, phone.</t>
  </si>
  <si>
    <t xml:space="preserve">Marketing</t>
  </si>
  <si>
    <t xml:space="preserve">Ads, printing, promotions.</t>
  </si>
  <si>
    <t xml:space="preserve">Laundry and small supplies</t>
  </si>
  <si>
    <t xml:space="preserve">Linens and disposables not tied to one service.</t>
  </si>
  <si>
    <t xml:space="preserve">Other</t>
  </si>
  <si>
    <t xml:space="preserve">Anything else you pay every month.</t>
  </si>
  <si>
    <t xml:space="preserve">Total monthly costs</t>
  </si>
  <si>
    <t xml:space="preserve">CARD FEES</t>
  </si>
  <si>
    <t xml:space="preserve">Percent of each charge</t>
  </si>
  <si>
    <t xml:space="preserve">A typical online card rate (Stripe, Square). Check your own processor.</t>
  </si>
  <si>
    <t xml:space="preserve">Fixed fee per charge</t>
  </si>
  <si>
    <t xml:space="preserve">YOUR MEMBERSHIP TIERS</t>
  </si>
  <si>
    <t xml:space="preserve">TIER 1</t>
  </si>
  <si>
    <t xml:space="preserve">TIER 2</t>
  </si>
  <si>
    <t xml:space="preserve">TIER 3</t>
  </si>
  <si>
    <t xml:space="preserve">Name</t>
  </si>
  <si>
    <t xml:space="preserve">Glow</t>
  </si>
  <si>
    <t xml:space="preserve">Glow Plus</t>
  </si>
  <si>
    <t xml:space="preserve">Ageless</t>
  </si>
  <si>
    <t xml:space="preserve">What clients will see.</t>
  </si>
  <si>
    <t xml:space="preserve">Monthly price</t>
  </si>
  <si>
    <t xml:space="preserve">What the member pays each month.</t>
  </si>
  <si>
    <t xml:space="preserve">Included service: your single price</t>
  </si>
  <si>
    <t xml:space="preserve">What the included facial costs without a membership.</t>
  </si>
  <si>
    <t xml:space="preserve">Minutes per included service</t>
  </si>
  <si>
    <t xml:space="preserve">Treatment time, including turnover.</t>
  </si>
  <si>
    <t xml:space="preserve">Product used per service (your cost)</t>
  </si>
  <si>
    <t xml:space="preserve">Backbar product used in the treatment.</t>
  </si>
  <si>
    <t xml:space="preserve">Members who use it each month</t>
  </si>
  <si>
    <t xml:space="preserve">Not everyone comes every month. 85% is common.</t>
  </si>
  <si>
    <t xml:space="preserve">Discount on products</t>
  </si>
  <si>
    <t xml:space="preserve">Member perk on retail.</t>
  </si>
  <si>
    <t xml:space="preserve">Average product spend a month</t>
  </si>
  <si>
    <t xml:space="preserve">Retail a typical member buys each month.</t>
  </si>
  <si>
    <t xml:space="preserve">Discount on add-ons</t>
  </si>
  <si>
    <t xml:space="preserve">Member perk on add-ons.</t>
  </si>
  <si>
    <t xml:space="preserve">Average add-on spend a month</t>
  </si>
  <si>
    <t xml:space="preserve">Add-ons a typical member books each month.</t>
  </si>
  <si>
    <t xml:space="preserve">Share of members on this tier</t>
  </si>
  <si>
    <t xml:space="preserve">Your best guess. The three should add up to 100%.</t>
  </si>
  <si>
    <t xml:space="preserve">Mix check (should be 100%)</t>
  </si>
  <si>
    <t xml:space="preserve">WHAT EACH MEMBER IS WORTH</t>
  </si>
  <si>
    <t xml:space="preserve">Card fee</t>
  </si>
  <si>
    <t xml:space="preserve">On each monthly charge.</t>
  </si>
  <si>
    <t xml:space="preserve">Product for the included service</t>
  </si>
  <si>
    <t xml:space="preserve">Product cost times how often it's used.</t>
  </si>
  <si>
    <t xml:space="preserve">Perks you give</t>
  </si>
  <si>
    <t xml:space="preserve">The discounts, in dollars.</t>
  </si>
  <si>
    <t xml:space="preserve">You keep per member, per month</t>
  </si>
  <si>
    <t xml:space="preserve">Before rent and other monthly costs.</t>
  </si>
  <si>
    <t xml:space="preserve">Member saves on each visit</t>
  </si>
  <si>
    <t xml:space="preserve">What makes the membership an easy yes.</t>
  </si>
  <si>
    <t xml:space="preserve">Member's discount</t>
  </si>
  <si>
    <t xml:space="preserve">10% to 25% feels generous and stays profitable.</t>
  </si>
  <si>
    <t xml:space="preserve">You keep per hour of treatment</t>
  </si>
  <si>
    <t xml:space="preserve">Compare with what a regular hour earns you.</t>
  </si>
  <si>
    <t xml:space="preserve">THE ANSWERS</t>
  </si>
  <si>
    <t xml:space="preserve">Average you keep per member (your mix)</t>
  </si>
  <si>
    <t xml:space="preserve">Members to cover your monthly costs</t>
  </si>
  <si>
    <t xml:space="preserve">Your break-even: the membership alone pays the bills.</t>
  </si>
  <si>
    <t xml:space="preserve">Your monthly pay goal, before taxes</t>
  </si>
  <si>
    <t xml:space="preserve">What you want the membership to pay you each month.</t>
  </si>
  <si>
    <t xml:space="preserve">Members to cover costs and your pay</t>
  </si>
  <si>
    <t xml:space="preserve">Monthly dues from that many members</t>
  </si>
  <si>
    <t xml:space="preserve">Treatment hours a month they need</t>
  </si>
  <si>
    <t xml:space="preserve">Hours you treat clients a month</t>
  </si>
  <si>
    <t xml:space="preserve">About 32 hours a week. Change it to your schedule.</t>
  </si>
  <si>
    <t xml:space="preserve">Share of your hours members fill</t>
  </si>
  <si>
    <t xml:space="preserve">Under 60% leaves room for new clients. Over 80%, raise prices or cap the membership.</t>
  </si>
  <si>
    <t xml:space="preserve">Your First Year</t>
  </si>
  <si>
    <t xml:space="preserve">How the membership grows with steady sign-ups and a few cancellations.</t>
  </si>
  <si>
    <t xml:space="preserve">ASSUMPTIONS</t>
  </si>
  <si>
    <t xml:space="preserve">Starting members</t>
  </si>
  <si>
    <t xml:space="preserve">Cancel each month</t>
  </si>
  <si>
    <t xml:space="preserve">3% to 5% a month is typical for a well-run membership.</t>
  </si>
  <si>
    <t xml:space="preserve">Average dues</t>
  </si>
  <si>
    <t xml:space="preserve">Green numbers come from the Calculator tab.</t>
  </si>
  <si>
    <t xml:space="preserve">You keep per member</t>
  </si>
  <si>
    <t xml:space="preserve">Monthly costs</t>
  </si>
  <si>
    <t xml:space="preserve">MONTH</t>
  </si>
  <si>
    <t xml:space="preserve">START</t>
  </si>
  <si>
    <t xml:space="preserve">NEW SIGN-UPS</t>
  </si>
  <si>
    <t xml:space="preserve">CANCELLED</t>
  </si>
  <si>
    <t xml:space="preserve">END</t>
  </si>
  <si>
    <t xml:space="preserve">DUES</t>
  </si>
  <si>
    <t xml:space="preserve">YOU KEEP</t>
  </si>
  <si>
    <t xml:space="preserve">MONTHLY COSTS</t>
  </si>
  <si>
    <t xml:space="preserve">NET</t>
  </si>
  <si>
    <t xml:space="preserve">RUNNING TOTAL</t>
  </si>
  <si>
    <t xml:space="preserve">COVERS COSTS</t>
  </si>
  <si>
    <t xml:space="preserve">New sign-ups are blue: change any month.</t>
  </si>
  <si>
    <t xml:space="preserve">AFTER TWELVE MONTHS</t>
  </si>
  <si>
    <t xml:space="preserve">Members</t>
  </si>
  <si>
    <t xml:space="preserve">Monthly dues</t>
  </si>
  <si>
    <t xml:space="preserve">First month the membership covers your costs</t>
  </si>
  <si>
    <t xml:space="preserve">Price Test</t>
  </si>
  <si>
    <t xml:space="preserve">Monthly profit from Tier 1 at different prices and member counts, after your monthly costs.</t>
  </si>
  <si>
    <t xml:space="preserve">PRICE  ↓   MEMBERS  →</t>
  </si>
  <si>
    <t xml:space="preserve">Uses Tier 1's product, perk and card-fee numbers from the Calculator tab. Red: the membership doesn't cover your monthly costs yet. Green: it does.</t>
  </si>
  <si>
    <t xml:space="preserve">The prices and member counts in blue can be changed.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</si>
</sst>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\$#,##0.00;&quot;($&quot;#,##0.00\);\-"/>
    <numFmt numFmtId="168" formatCode="#,##0;\(#,##0\);\-"/>
    <numFmt numFmtId="169" formatCode="0%;\(0%\);\-"/>
    <numFmt numFmtId="170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A2326"/>
      <name val="Arial"/>
      <family val="0"/>
      <charset val="1"/>
    </font>
    <font>
      <i val="true"/>
      <sz val="10"/>
      <color rgb="FF7A6D72"/>
      <name val="Arial"/>
      <family val="0"/>
      <charset val="1"/>
    </font>
    <font>
      <b val="true"/>
      <sz val="9"/>
      <color rgb="FFA86B7E"/>
      <name val="Arial"/>
      <family val="0"/>
      <charset val="1"/>
    </font>
    <font>
      <b val="true"/>
      <sz val="10"/>
      <color rgb="FF2A2326"/>
      <name val="Arial"/>
      <family val="0"/>
      <charset val="1"/>
    </font>
    <font>
      <sz val="10"/>
      <color rgb="FF2A232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.5"/>
      <color rgb="FF7A6D7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DD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CDC"/>
        </patternFill>
      </fill>
    </dxf>
    <dxf>
      <fill>
        <patternFill>
          <bgColor rgb="FFE3F1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D72"/>
      <rgbColor rgb="FF9999FF"/>
      <rgbColor rgb="FF993366"/>
      <rgbColor rgb="FFFFFFCC"/>
      <rgbColor rgb="FFCCFFFF"/>
      <rgbColor rgb="FF660066"/>
      <rgbColor rgb="FFFF8080"/>
      <rgbColor rgb="FF0066CC"/>
      <rgbColor rgb="FFE7D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1E3"/>
      <rgbColor rgb="FFFFF2A8"/>
      <rgbColor rgb="FF99CCFF"/>
      <rgbColor rgb="FFFF99CC"/>
      <rgbColor rgb="FFCC99FF"/>
      <rgbColor rgb="FFF8DCDC"/>
      <rgbColor rgb="FF3366FF"/>
      <rgbColor rgb="FF33CCCC"/>
      <rgbColor rgb="FF99CC00"/>
      <rgbColor rgb="FFFFCC00"/>
      <rgbColor rgb="FFFF9900"/>
      <rgbColor rgb="FFFF6600"/>
      <rgbColor rgb="FF666699"/>
      <rgbColor rgb="FFA86B7E"/>
      <rgbColor rgb="FF003366"/>
      <rgbColor rgb="FF339966"/>
      <rgbColor rgb="FF003300"/>
      <rgbColor rgb="FF333300"/>
      <rgbColor rgb="FF993300"/>
      <rgbColor rgb="FF993366"/>
      <rgbColor rgb="FF333399"/>
      <rgbColor rgb="FF2A23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8" customFormat="false" ht="30" hidden="false" customHeight="true" outlineLevel="0" collapsed="false">
      <c r="A8" s="5" t="s">
        <v>9</v>
      </c>
      <c r="B8" s="6" t="s">
        <v>10</v>
      </c>
    </row>
    <row r="9" customFormat="false" ht="30" hidden="false" customHeight="true" outlineLevel="0" collapsed="false">
      <c r="A9" s="5" t="s">
        <v>11</v>
      </c>
      <c r="B9" s="6" t="s">
        <v>12</v>
      </c>
    </row>
    <row r="11" customFormat="false" ht="21.75" hidden="false" customHeight="true" outlineLevel="0" collapsed="false">
      <c r="A11" s="3" t="s">
        <v>13</v>
      </c>
      <c r="B11" s="4"/>
    </row>
    <row r="12" customFormat="false" ht="15" hidden="false" customHeight="false" outlineLevel="0" collapsed="false">
      <c r="A12" s="7" t="s">
        <v>14</v>
      </c>
      <c r="B12" s="8" t="s">
        <v>15</v>
      </c>
    </row>
    <row r="13" customFormat="false" ht="15" hidden="false" customHeight="false" outlineLevel="0" collapsed="false">
      <c r="A13" s="9" t="s">
        <v>16</v>
      </c>
      <c r="B13" s="8" t="s">
        <v>17</v>
      </c>
    </row>
    <row r="14" customFormat="false" ht="15" hidden="false" customHeight="false" outlineLevel="0" collapsed="false">
      <c r="A14" s="10" t="s">
        <v>18</v>
      </c>
      <c r="B14" s="8" t="s">
        <v>19</v>
      </c>
    </row>
    <row r="16" customFormat="false" ht="21.75" hidden="false" customHeight="true" outlineLevel="0" collapsed="false">
      <c r="A16" s="3" t="s">
        <v>20</v>
      </c>
      <c r="B16" s="4"/>
    </row>
    <row r="17" customFormat="false" ht="43.5" hidden="false" customHeight="true" outlineLevel="0" collapsed="false">
      <c r="A17" s="11" t="s">
        <v>21</v>
      </c>
      <c r="B17" s="11"/>
    </row>
    <row r="19" customFormat="false" ht="21.75" hidden="false" customHeight="true" outlineLevel="0" collapsed="false">
      <c r="A19" s="3" t="s">
        <v>22</v>
      </c>
      <c r="B19" s="4"/>
    </row>
    <row r="20" customFormat="false" ht="43.5" hidden="false" customHeight="true" outlineLevel="0" collapsed="false">
      <c r="A20" s="11" t="s">
        <v>23</v>
      </c>
      <c r="B20" s="11"/>
    </row>
  </sheetData>
  <mergeCells count="2">
    <mergeCell ref="A17:B17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E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62"/>
  </cols>
  <sheetData>
    <row r="1" customFormat="false" ht="25.5" hidden="false" customHeight="tru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21.75" hidden="false" customHeight="true" outlineLevel="0" collapsed="false">
      <c r="A4" s="3" t="s">
        <v>26</v>
      </c>
      <c r="B4" s="4"/>
      <c r="C4" s="4"/>
      <c r="D4" s="4"/>
      <c r="E4" s="4"/>
    </row>
    <row r="5" customFormat="false" ht="15" hidden="false" customHeight="false" outlineLevel="0" collapsed="false">
      <c r="A5" s="12" t="s">
        <v>27</v>
      </c>
      <c r="B5" s="13" t="n">
        <v>1400</v>
      </c>
      <c r="E5" s="14" t="s">
        <v>28</v>
      </c>
    </row>
    <row r="6" customFormat="false" ht="15" hidden="false" customHeight="false" outlineLevel="0" collapsed="false">
      <c r="A6" s="12" t="s">
        <v>29</v>
      </c>
      <c r="B6" s="15" t="n">
        <v>65</v>
      </c>
      <c r="E6" s="14" t="s">
        <v>30</v>
      </c>
    </row>
    <row r="7" customFormat="false" ht="15" hidden="false" customHeight="false" outlineLevel="0" collapsed="false">
      <c r="A7" s="12" t="s">
        <v>31</v>
      </c>
      <c r="B7" s="15" t="n">
        <v>120</v>
      </c>
      <c r="E7" s="14" t="s">
        <v>32</v>
      </c>
    </row>
    <row r="8" customFormat="false" ht="15" hidden="false" customHeight="false" outlineLevel="0" collapsed="false">
      <c r="A8" s="12" t="s">
        <v>33</v>
      </c>
      <c r="B8" s="15" t="n">
        <v>150</v>
      </c>
      <c r="E8" s="14" t="s">
        <v>34</v>
      </c>
    </row>
    <row r="9" customFormat="false" ht="15" hidden="false" customHeight="false" outlineLevel="0" collapsed="false">
      <c r="A9" s="12" t="s">
        <v>35</v>
      </c>
      <c r="B9" s="15" t="n">
        <v>60</v>
      </c>
      <c r="E9" s="14" t="s">
        <v>36</v>
      </c>
    </row>
    <row r="10" customFormat="false" ht="15" hidden="false" customHeight="false" outlineLevel="0" collapsed="false">
      <c r="A10" s="12" t="s">
        <v>37</v>
      </c>
      <c r="B10" s="15" t="n">
        <v>0</v>
      </c>
      <c r="E10" s="14" t="s">
        <v>38</v>
      </c>
    </row>
    <row r="11" customFormat="false" ht="15" hidden="false" customHeight="false" outlineLevel="0" collapsed="false">
      <c r="A11" s="16" t="s">
        <v>39</v>
      </c>
      <c r="B11" s="17" t="n">
        <f aca="false">SUM(B5:B10)</f>
        <v>1795</v>
      </c>
    </row>
    <row r="13" customFormat="false" ht="21.75" hidden="false" customHeight="true" outlineLevel="0" collapsed="false">
      <c r="A13" s="3" t="s">
        <v>40</v>
      </c>
      <c r="B13" s="4"/>
      <c r="C13" s="4"/>
      <c r="D13" s="4"/>
      <c r="E13" s="4"/>
    </row>
    <row r="14" customFormat="false" ht="15" hidden="false" customHeight="false" outlineLevel="0" collapsed="false">
      <c r="A14" s="12" t="s">
        <v>41</v>
      </c>
      <c r="B14" s="18" t="n">
        <v>0.029</v>
      </c>
      <c r="E14" s="14" t="s">
        <v>42</v>
      </c>
    </row>
    <row r="15" customFormat="false" ht="15" hidden="false" customHeight="false" outlineLevel="0" collapsed="false">
      <c r="A15" s="12" t="s">
        <v>43</v>
      </c>
      <c r="B15" s="19" t="n">
        <v>0.3</v>
      </c>
    </row>
    <row r="17" customFormat="false" ht="21.75" hidden="false" customHeight="true" outlineLevel="0" collapsed="false">
      <c r="A17" s="3" t="s">
        <v>44</v>
      </c>
      <c r="B17" s="20" t="s">
        <v>45</v>
      </c>
      <c r="C17" s="20" t="s">
        <v>46</v>
      </c>
      <c r="D17" s="20" t="s">
        <v>47</v>
      </c>
      <c r="E17" s="4"/>
    </row>
    <row r="18" customFormat="false" ht="15" hidden="false" customHeight="false" outlineLevel="0" collapsed="false">
      <c r="A18" s="12" t="s">
        <v>48</v>
      </c>
      <c r="B18" s="21" t="s">
        <v>49</v>
      </c>
      <c r="C18" s="21" t="s">
        <v>50</v>
      </c>
      <c r="D18" s="21" t="s">
        <v>51</v>
      </c>
      <c r="E18" s="14" t="s">
        <v>52</v>
      </c>
    </row>
    <row r="19" customFormat="false" ht="15" hidden="false" customHeight="false" outlineLevel="0" collapsed="false">
      <c r="A19" s="12" t="s">
        <v>53</v>
      </c>
      <c r="B19" s="22" t="n">
        <v>119</v>
      </c>
      <c r="C19" s="22" t="n">
        <v>159</v>
      </c>
      <c r="D19" s="22" t="n">
        <v>209</v>
      </c>
      <c r="E19" s="14" t="s">
        <v>54</v>
      </c>
    </row>
    <row r="20" customFormat="false" ht="15" hidden="false" customHeight="false" outlineLevel="0" collapsed="false">
      <c r="A20" s="12" t="s">
        <v>55</v>
      </c>
      <c r="B20" s="23" t="n">
        <v>140</v>
      </c>
      <c r="C20" s="23" t="n">
        <v>185</v>
      </c>
      <c r="D20" s="23" t="n">
        <v>245</v>
      </c>
      <c r="E20" s="14" t="s">
        <v>56</v>
      </c>
    </row>
    <row r="21" customFormat="false" ht="15" hidden="false" customHeight="false" outlineLevel="0" collapsed="false">
      <c r="A21" s="12" t="s">
        <v>57</v>
      </c>
      <c r="B21" s="24" t="n">
        <v>60</v>
      </c>
      <c r="C21" s="24" t="n">
        <v>75</v>
      </c>
      <c r="D21" s="24" t="n">
        <v>90</v>
      </c>
      <c r="E21" s="14" t="s">
        <v>58</v>
      </c>
    </row>
    <row r="22" customFormat="false" ht="15" hidden="false" customHeight="false" outlineLevel="0" collapsed="false">
      <c r="A22" s="12" t="s">
        <v>59</v>
      </c>
      <c r="B22" s="23" t="n">
        <v>12</v>
      </c>
      <c r="C22" s="23" t="n">
        <v>16</v>
      </c>
      <c r="D22" s="23" t="n">
        <v>22</v>
      </c>
      <c r="E22" s="14" t="s">
        <v>60</v>
      </c>
    </row>
    <row r="23" customFormat="false" ht="15" hidden="false" customHeight="false" outlineLevel="0" collapsed="false">
      <c r="A23" s="12" t="s">
        <v>61</v>
      </c>
      <c r="B23" s="25" t="n">
        <v>0.85</v>
      </c>
      <c r="C23" s="25" t="n">
        <v>0.85</v>
      </c>
      <c r="D23" s="25" t="n">
        <v>0.9</v>
      </c>
      <c r="E23" s="14" t="s">
        <v>62</v>
      </c>
    </row>
    <row r="24" customFormat="false" ht="15" hidden="false" customHeight="false" outlineLevel="0" collapsed="false">
      <c r="A24" s="12" t="s">
        <v>63</v>
      </c>
      <c r="B24" s="25" t="n">
        <v>0.1</v>
      </c>
      <c r="C24" s="25" t="n">
        <v>0.1</v>
      </c>
      <c r="D24" s="25" t="n">
        <v>0.15</v>
      </c>
      <c r="E24" s="14" t="s">
        <v>64</v>
      </c>
    </row>
    <row r="25" customFormat="false" ht="15" hidden="false" customHeight="false" outlineLevel="0" collapsed="false">
      <c r="A25" s="12" t="s">
        <v>65</v>
      </c>
      <c r="B25" s="23" t="n">
        <v>30</v>
      </c>
      <c r="C25" s="23" t="n">
        <v>35</v>
      </c>
      <c r="D25" s="23" t="n">
        <v>45</v>
      </c>
      <c r="E25" s="14" t="s">
        <v>66</v>
      </c>
    </row>
    <row r="26" customFormat="false" ht="15" hidden="false" customHeight="false" outlineLevel="0" collapsed="false">
      <c r="A26" s="12" t="s">
        <v>67</v>
      </c>
      <c r="B26" s="25" t="n">
        <v>0.15</v>
      </c>
      <c r="C26" s="25" t="n">
        <v>0.15</v>
      </c>
      <c r="D26" s="25" t="n">
        <v>0.15</v>
      </c>
      <c r="E26" s="14" t="s">
        <v>68</v>
      </c>
    </row>
    <row r="27" customFormat="false" ht="15" hidden="false" customHeight="false" outlineLevel="0" collapsed="false">
      <c r="A27" s="12" t="s">
        <v>69</v>
      </c>
      <c r="B27" s="23" t="n">
        <v>15</v>
      </c>
      <c r="C27" s="23" t="n">
        <v>20</v>
      </c>
      <c r="D27" s="23" t="n">
        <v>25</v>
      </c>
      <c r="E27" s="14" t="s">
        <v>70</v>
      </c>
    </row>
    <row r="28" customFormat="false" ht="15" hidden="false" customHeight="false" outlineLevel="0" collapsed="false">
      <c r="A28" s="12" t="s">
        <v>71</v>
      </c>
      <c r="B28" s="26" t="n">
        <v>0.5</v>
      </c>
      <c r="C28" s="26" t="n">
        <v>0.35</v>
      </c>
      <c r="D28" s="26" t="n">
        <v>0.15</v>
      </c>
      <c r="E28" s="14" t="s">
        <v>72</v>
      </c>
    </row>
    <row r="29" customFormat="false" ht="15" hidden="false" customHeight="false" outlineLevel="0" collapsed="false">
      <c r="A29" s="12" t="s">
        <v>73</v>
      </c>
      <c r="B29" s="27" t="n">
        <f aca="false">SUM(B28:D28)</f>
        <v>1</v>
      </c>
      <c r="C29" s="10" t="str">
        <f aca="false">IF(ROUND(B29,4)=1,"Good","Adjust the mix")</f>
        <v>Good</v>
      </c>
    </row>
    <row r="31" customFormat="false" ht="21.75" hidden="false" customHeight="true" outlineLevel="0" collapsed="false">
      <c r="A31" s="3" t="s">
        <v>74</v>
      </c>
      <c r="B31" s="4"/>
      <c r="C31" s="4"/>
      <c r="D31" s="4"/>
      <c r="E31" s="4"/>
    </row>
    <row r="32" customFormat="false" ht="15" hidden="false" customHeight="false" outlineLevel="0" collapsed="false">
      <c r="A32" s="12" t="s">
        <v>75</v>
      </c>
      <c r="B32" s="28" t="n">
        <f aca="false">B19*$B$14+$B$15</f>
        <v>3.751</v>
      </c>
      <c r="C32" s="28" t="n">
        <f aca="false">C19*$B$14+$B$15</f>
        <v>4.911</v>
      </c>
      <c r="D32" s="28" t="n">
        <f aca="false">D19*$B$14+$B$15</f>
        <v>6.361</v>
      </c>
      <c r="E32" s="14" t="s">
        <v>76</v>
      </c>
    </row>
    <row r="33" customFormat="false" ht="15" hidden="false" customHeight="false" outlineLevel="0" collapsed="false">
      <c r="A33" s="12" t="s">
        <v>77</v>
      </c>
      <c r="B33" s="28" t="n">
        <f aca="false">B22*B23</f>
        <v>10.2</v>
      </c>
      <c r="C33" s="28" t="n">
        <f aca="false">C22*C23</f>
        <v>13.6</v>
      </c>
      <c r="D33" s="28" t="n">
        <f aca="false">D22*D23</f>
        <v>19.8</v>
      </c>
      <c r="E33" s="14" t="s">
        <v>78</v>
      </c>
    </row>
    <row r="34" customFormat="false" ht="15" hidden="false" customHeight="false" outlineLevel="0" collapsed="false">
      <c r="A34" s="12" t="s">
        <v>79</v>
      </c>
      <c r="B34" s="28" t="n">
        <f aca="false">B25*B24+B27*B26</f>
        <v>5.25</v>
      </c>
      <c r="C34" s="28" t="n">
        <f aca="false">C25*C24+C27*C26</f>
        <v>6.5</v>
      </c>
      <c r="D34" s="28" t="n">
        <f aca="false">D25*D24+D27*D26</f>
        <v>10.5</v>
      </c>
      <c r="E34" s="14" t="s">
        <v>80</v>
      </c>
    </row>
    <row r="35" customFormat="false" ht="15" hidden="false" customHeight="false" outlineLevel="0" collapsed="false">
      <c r="A35" s="16" t="s">
        <v>81</v>
      </c>
      <c r="B35" s="29" t="n">
        <f aca="false">B19-B32-B33-B34</f>
        <v>99.799</v>
      </c>
      <c r="C35" s="29" t="n">
        <f aca="false">C19-C32-C33-C34</f>
        <v>133.989</v>
      </c>
      <c r="D35" s="29" t="n">
        <f aca="false">D19-D32-D33-D34</f>
        <v>172.339</v>
      </c>
      <c r="E35" s="14" t="s">
        <v>82</v>
      </c>
    </row>
    <row r="36" customFormat="false" ht="15" hidden="false" customHeight="false" outlineLevel="0" collapsed="false">
      <c r="A36" s="12" t="s">
        <v>83</v>
      </c>
      <c r="B36" s="30" t="n">
        <f aca="false">B20-B19</f>
        <v>21</v>
      </c>
      <c r="C36" s="30" t="n">
        <f aca="false">C20-C19</f>
        <v>26</v>
      </c>
      <c r="D36" s="30" t="n">
        <f aca="false">D20-D19</f>
        <v>36</v>
      </c>
      <c r="E36" s="14" t="s">
        <v>84</v>
      </c>
    </row>
    <row r="37" customFormat="false" ht="15" hidden="false" customHeight="false" outlineLevel="0" collapsed="false">
      <c r="A37" s="12" t="s">
        <v>85</v>
      </c>
      <c r="B37" s="27" t="n">
        <f aca="false">IF(B20=0,0,1-B19/B20)</f>
        <v>0.15</v>
      </c>
      <c r="C37" s="27" t="n">
        <f aca="false">IF(C20=0,0,1-C19/C20)</f>
        <v>0.140540540540541</v>
      </c>
      <c r="D37" s="27" t="n">
        <f aca="false">IF(D20=0,0,1-D19/D20)</f>
        <v>0.146938775510204</v>
      </c>
      <c r="E37" s="14" t="s">
        <v>86</v>
      </c>
    </row>
    <row r="38" customFormat="false" ht="15" hidden="false" customHeight="false" outlineLevel="0" collapsed="false">
      <c r="A38" s="12" t="s">
        <v>87</v>
      </c>
      <c r="B38" s="30" t="n">
        <f aca="false">IF(B21*B23=0,0,B35/(B21*B23/60))</f>
        <v>117.410588235294</v>
      </c>
      <c r="C38" s="30" t="n">
        <f aca="false">IF(C21*C23=0,0,C35/(C21*C23/60))</f>
        <v>126.107294117647</v>
      </c>
      <c r="D38" s="30" t="n">
        <f aca="false">IF(D21*D23=0,0,D35/(D21*D23/60))</f>
        <v>127.658518518519</v>
      </c>
      <c r="E38" s="14" t="s">
        <v>88</v>
      </c>
    </row>
    <row r="40" customFormat="false" ht="21.75" hidden="false" customHeight="true" outlineLevel="0" collapsed="false">
      <c r="A40" s="3" t="s">
        <v>89</v>
      </c>
      <c r="B40" s="4"/>
      <c r="C40" s="4"/>
      <c r="D40" s="4"/>
      <c r="E40" s="4"/>
    </row>
    <row r="41" customFormat="false" ht="15" hidden="false" customHeight="false" outlineLevel="0" collapsed="false">
      <c r="A41" s="12" t="s">
        <v>90</v>
      </c>
      <c r="B41" s="28" t="n">
        <f aca="false">IF(SUM(B28:D28)=0,0,SUMPRODUCT(B35:D35,B28:D28)/SUM(B28:D28))</f>
        <v>122.6465</v>
      </c>
    </row>
    <row r="42" customFormat="false" ht="17.35" hidden="false" customHeight="false" outlineLevel="0" collapsed="false">
      <c r="A42" s="16" t="s">
        <v>91</v>
      </c>
      <c r="B42" s="31" t="n">
        <f aca="false">IF(B41&lt;=0,"Raise prices",ROUNDUP(B11/B41,0))</f>
        <v>15</v>
      </c>
      <c r="E42" s="14" t="s">
        <v>92</v>
      </c>
    </row>
    <row r="43" customFormat="false" ht="15" hidden="false" customHeight="false" outlineLevel="0" collapsed="false">
      <c r="A43" s="12" t="s">
        <v>93</v>
      </c>
      <c r="B43" s="13" t="n">
        <v>4000</v>
      </c>
      <c r="E43" s="14" t="s">
        <v>94</v>
      </c>
    </row>
    <row r="44" customFormat="false" ht="17.35" hidden="false" customHeight="false" outlineLevel="0" collapsed="false">
      <c r="A44" s="16" t="s">
        <v>95</v>
      </c>
      <c r="B44" s="31" t="n">
        <f aca="false">IF(B41&lt;=0,"Raise prices",ROUNDUP((B11+B43)/B41,0))</f>
        <v>48</v>
      </c>
    </row>
    <row r="45" customFormat="false" ht="15" hidden="false" customHeight="false" outlineLevel="0" collapsed="false">
      <c r="A45" s="12" t="s">
        <v>96</v>
      </c>
      <c r="B45" s="30" t="n">
        <f aca="false">IF(ISNUMBER(B44),B44*SUMPRODUCT(B19:D19,B28:D28)/SUM(B28:D28),0)</f>
        <v>7032</v>
      </c>
    </row>
    <row r="46" customFormat="false" ht="15" hidden="false" customHeight="false" outlineLevel="0" collapsed="false">
      <c r="A46" s="12" t="s">
        <v>97</v>
      </c>
      <c r="B46" s="32" t="n">
        <f aca="false">IF(ISNUMBER(B44),B44*SUMPRODUCT(B21:D21,B23:D23,B28:D28)/SUM(B28:D28)/60,0)</f>
        <v>47.97</v>
      </c>
    </row>
    <row r="47" customFormat="false" ht="15" hidden="false" customHeight="false" outlineLevel="0" collapsed="false">
      <c r="A47" s="12" t="s">
        <v>98</v>
      </c>
      <c r="B47" s="33" t="n">
        <v>140</v>
      </c>
      <c r="E47" s="14" t="s">
        <v>99</v>
      </c>
    </row>
    <row r="48" customFormat="false" ht="15" hidden="false" customHeight="false" outlineLevel="0" collapsed="false">
      <c r="A48" s="16" t="s">
        <v>100</v>
      </c>
      <c r="B48" s="34" t="n">
        <f aca="false">IF(B47=0,0,B46/B47)</f>
        <v>0.342642857142857</v>
      </c>
      <c r="C48" s="10" t="str">
        <f aca="false">IF(B48&gt;0.8,"Too full: raise prices or cap it",IF(B48&lt;0.6,"Room to grow","A healthy balance"))</f>
        <v>Room to grow</v>
      </c>
      <c r="E48" s="1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1" min="11" style="0" width="14"/>
  </cols>
  <sheetData>
    <row r="1" customFormat="false" ht="25.5" hidden="false" customHeight="tru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21.75" hidden="false" customHeight="true" outlineLevel="0" collapsed="false">
      <c r="A4" s="3" t="s">
        <v>104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A5" s="12" t="s">
        <v>105</v>
      </c>
      <c r="C5" s="33" t="n">
        <v>0</v>
      </c>
    </row>
    <row r="6" customFormat="false" ht="15" hidden="false" customHeight="false" outlineLevel="0" collapsed="false">
      <c r="A6" s="12" t="s">
        <v>106</v>
      </c>
      <c r="C6" s="35" t="n">
        <v>0.04</v>
      </c>
      <c r="E6" s="14" t="s">
        <v>107</v>
      </c>
    </row>
    <row r="7" customFormat="false" ht="15" hidden="false" customHeight="false" outlineLevel="0" collapsed="false">
      <c r="A7" s="12" t="s">
        <v>108</v>
      </c>
      <c r="C7" s="36" t="n">
        <f aca="false">IF(SUM(Calculator!B28:D28)=0,0,SUMPRODUCT(Calculator!B19:D19,Calculator!B28:D28)/SUM(Calculator!B28:D28))</f>
        <v>146.5</v>
      </c>
      <c r="E7" s="14" t="s">
        <v>109</v>
      </c>
    </row>
    <row r="8" customFormat="false" ht="15" hidden="false" customHeight="false" outlineLevel="0" collapsed="false">
      <c r="A8" s="12" t="s">
        <v>110</v>
      </c>
      <c r="C8" s="36" t="n">
        <f aca="false">Calculator!B41</f>
        <v>122.6465</v>
      </c>
    </row>
    <row r="9" customFormat="false" ht="15" hidden="false" customHeight="false" outlineLevel="0" collapsed="false">
      <c r="A9" s="12" t="s">
        <v>111</v>
      </c>
      <c r="C9" s="37" t="n">
        <f aca="false">Calculator!B11</f>
        <v>1795</v>
      </c>
    </row>
    <row r="11" customFormat="false" ht="27.75" hidden="false" customHeight="true" outlineLevel="0" collapsed="false">
      <c r="A11" s="38" t="s">
        <v>112</v>
      </c>
      <c r="B11" s="39" t="s">
        <v>113</v>
      </c>
      <c r="C11" s="39" t="s">
        <v>114</v>
      </c>
      <c r="D11" s="39" t="s">
        <v>115</v>
      </c>
      <c r="E11" s="39" t="s">
        <v>116</v>
      </c>
      <c r="F11" s="39" t="s">
        <v>117</v>
      </c>
      <c r="G11" s="39" t="s">
        <v>118</v>
      </c>
      <c r="H11" s="39" t="s">
        <v>119</v>
      </c>
      <c r="I11" s="39" t="s">
        <v>120</v>
      </c>
      <c r="J11" s="39" t="s">
        <v>121</v>
      </c>
      <c r="K11" s="39" t="s">
        <v>122</v>
      </c>
    </row>
    <row r="12" customFormat="false" ht="15" hidden="false" customHeight="false" outlineLevel="0" collapsed="false">
      <c r="A12" s="40" t="n">
        <v>1</v>
      </c>
      <c r="B12" s="41" t="n">
        <f aca="false">C5</f>
        <v>0</v>
      </c>
      <c r="C12" s="42" t="n">
        <v>4</v>
      </c>
      <c r="D12" s="41" t="n">
        <f aca="false">B12*$C$6</f>
        <v>0</v>
      </c>
      <c r="E12" s="41" t="n">
        <f aca="false">B12+C12-D12</f>
        <v>4</v>
      </c>
      <c r="F12" s="43" t="n">
        <f aca="false">E12*$C$7</f>
        <v>586</v>
      </c>
      <c r="G12" s="43" t="n">
        <f aca="false">E12*$C$8</f>
        <v>490.586</v>
      </c>
      <c r="H12" s="43" t="n">
        <f aca="false">$C$9</f>
        <v>1795</v>
      </c>
      <c r="I12" s="43" t="n">
        <f aca="false">G12-H12</f>
        <v>-1304.414</v>
      </c>
      <c r="J12" s="43" t="n">
        <f aca="false">I12</f>
        <v>-1304.414</v>
      </c>
      <c r="K12" s="44" t="str">
        <f aca="false">IF(I12&gt;=0,"Yes","Not yet")</f>
        <v>Not yet</v>
      </c>
    </row>
    <row r="13" customFormat="false" ht="15" hidden="false" customHeight="false" outlineLevel="0" collapsed="false">
      <c r="A13" s="40" t="n">
        <v>2</v>
      </c>
      <c r="B13" s="41" t="n">
        <f aca="false">E12</f>
        <v>4</v>
      </c>
      <c r="C13" s="42" t="n">
        <v>5</v>
      </c>
      <c r="D13" s="41" t="n">
        <f aca="false">B13*$C$6</f>
        <v>0.16</v>
      </c>
      <c r="E13" s="41" t="n">
        <f aca="false">B13+C13-D13</f>
        <v>8.84</v>
      </c>
      <c r="F13" s="43" t="n">
        <f aca="false">E13*$C$7</f>
        <v>1295.06</v>
      </c>
      <c r="G13" s="43" t="n">
        <f aca="false">E13*$C$8</f>
        <v>1084.19506</v>
      </c>
      <c r="H13" s="43" t="n">
        <f aca="false">$C$9</f>
        <v>1795</v>
      </c>
      <c r="I13" s="43" t="n">
        <f aca="false">G13-H13</f>
        <v>-710.80494</v>
      </c>
      <c r="J13" s="43" t="n">
        <f aca="false">J12+I13</f>
        <v>-2015.21894</v>
      </c>
      <c r="K13" s="44" t="str">
        <f aca="false">IF(I13&gt;=0,"Yes","Not yet")</f>
        <v>Not yet</v>
      </c>
    </row>
    <row r="14" customFormat="false" ht="15" hidden="false" customHeight="false" outlineLevel="0" collapsed="false">
      <c r="A14" s="40" t="n">
        <v>3</v>
      </c>
      <c r="B14" s="41" t="n">
        <f aca="false">E13</f>
        <v>8.84</v>
      </c>
      <c r="C14" s="42" t="n">
        <v>6</v>
      </c>
      <c r="D14" s="41" t="n">
        <f aca="false">B14*$C$6</f>
        <v>0.3536</v>
      </c>
      <c r="E14" s="41" t="n">
        <f aca="false">B14+C14-D14</f>
        <v>14.4864</v>
      </c>
      <c r="F14" s="43" t="n">
        <f aca="false">E14*$C$7</f>
        <v>2122.2576</v>
      </c>
      <c r="G14" s="43" t="n">
        <f aca="false">E14*$C$8</f>
        <v>1776.7062576</v>
      </c>
      <c r="H14" s="43" t="n">
        <f aca="false">$C$9</f>
        <v>1795</v>
      </c>
      <c r="I14" s="43" t="n">
        <f aca="false">G14-H14</f>
        <v>-18.2937424000002</v>
      </c>
      <c r="J14" s="43" t="n">
        <f aca="false">J13+I14</f>
        <v>-2033.5126824</v>
      </c>
      <c r="K14" s="44" t="str">
        <f aca="false">IF(I14&gt;=0,"Yes","Not yet")</f>
        <v>Not yet</v>
      </c>
    </row>
    <row r="15" customFormat="false" ht="15" hidden="false" customHeight="false" outlineLevel="0" collapsed="false">
      <c r="A15" s="40" t="n">
        <v>4</v>
      </c>
      <c r="B15" s="41" t="n">
        <f aca="false">E14</f>
        <v>14.4864</v>
      </c>
      <c r="C15" s="42" t="n">
        <v>6</v>
      </c>
      <c r="D15" s="41" t="n">
        <f aca="false">B15*$C$6</f>
        <v>0.579456</v>
      </c>
      <c r="E15" s="41" t="n">
        <f aca="false">B15+C15-D15</f>
        <v>19.906944</v>
      </c>
      <c r="F15" s="43" t="n">
        <f aca="false">E15*$C$7</f>
        <v>2916.367296</v>
      </c>
      <c r="G15" s="43" t="n">
        <f aca="false">E15*$C$8</f>
        <v>2441.517007296</v>
      </c>
      <c r="H15" s="43" t="n">
        <f aca="false">$C$9</f>
        <v>1795</v>
      </c>
      <c r="I15" s="43" t="n">
        <f aca="false">G15-H15</f>
        <v>646.517007296</v>
      </c>
      <c r="J15" s="43" t="n">
        <f aca="false">J14+I15</f>
        <v>-1386.995675104</v>
      </c>
      <c r="K15" s="44" t="str">
        <f aca="false">IF(I15&gt;=0,"Yes","Not yet")</f>
        <v>Yes</v>
      </c>
    </row>
    <row r="16" customFormat="false" ht="15" hidden="false" customHeight="false" outlineLevel="0" collapsed="false">
      <c r="A16" s="40" t="n">
        <v>5</v>
      </c>
      <c r="B16" s="41" t="n">
        <f aca="false">E15</f>
        <v>19.906944</v>
      </c>
      <c r="C16" s="42" t="n">
        <v>6</v>
      </c>
      <c r="D16" s="41" t="n">
        <f aca="false">B16*$C$6</f>
        <v>0.79627776</v>
      </c>
      <c r="E16" s="41" t="n">
        <f aca="false">B16+C16-D16</f>
        <v>25.11066624</v>
      </c>
      <c r="F16" s="43" t="n">
        <f aca="false">E16*$C$7</f>
        <v>3678.71260416</v>
      </c>
      <c r="G16" s="43" t="n">
        <f aca="false">E16*$C$8</f>
        <v>3079.73532700416</v>
      </c>
      <c r="H16" s="43" t="n">
        <f aca="false">$C$9</f>
        <v>1795</v>
      </c>
      <c r="I16" s="43" t="n">
        <f aca="false">G16-H16</f>
        <v>1284.73532700416</v>
      </c>
      <c r="J16" s="43" t="n">
        <f aca="false">J15+I16</f>
        <v>-102.260348099841</v>
      </c>
      <c r="K16" s="44" t="str">
        <f aca="false">IF(I16&gt;=0,"Yes","Not yet")</f>
        <v>Yes</v>
      </c>
    </row>
    <row r="17" customFormat="false" ht="15" hidden="false" customHeight="false" outlineLevel="0" collapsed="false">
      <c r="A17" s="40" t="n">
        <v>6</v>
      </c>
      <c r="B17" s="41" t="n">
        <f aca="false">E16</f>
        <v>25.11066624</v>
      </c>
      <c r="C17" s="42" t="n">
        <v>6</v>
      </c>
      <c r="D17" s="41" t="n">
        <f aca="false">B17*$C$6</f>
        <v>1.0044266496</v>
      </c>
      <c r="E17" s="41" t="n">
        <f aca="false">B17+C17-D17</f>
        <v>30.1062395904</v>
      </c>
      <c r="F17" s="43" t="n">
        <f aca="false">E17*$C$7</f>
        <v>4410.5640999936</v>
      </c>
      <c r="G17" s="43" t="n">
        <f aca="false">E17*$C$8</f>
        <v>3692.42491392399</v>
      </c>
      <c r="H17" s="43" t="n">
        <f aca="false">$C$9</f>
        <v>1795</v>
      </c>
      <c r="I17" s="43" t="n">
        <f aca="false">G17-H17</f>
        <v>1897.42491392399</v>
      </c>
      <c r="J17" s="43" t="n">
        <f aca="false">J16+I17</f>
        <v>1795.16456582415</v>
      </c>
      <c r="K17" s="44" t="str">
        <f aca="false">IF(I17&gt;=0,"Yes","Not yet")</f>
        <v>Yes</v>
      </c>
    </row>
    <row r="18" customFormat="false" ht="15" hidden="false" customHeight="false" outlineLevel="0" collapsed="false">
      <c r="A18" s="40" t="n">
        <v>7</v>
      </c>
      <c r="B18" s="41" t="n">
        <f aca="false">E17</f>
        <v>30.1062395904</v>
      </c>
      <c r="C18" s="42" t="n">
        <v>6</v>
      </c>
      <c r="D18" s="41" t="n">
        <f aca="false">B18*$C$6</f>
        <v>1.204249583616</v>
      </c>
      <c r="E18" s="41" t="n">
        <f aca="false">B18+C18-D18</f>
        <v>34.901990006784</v>
      </c>
      <c r="F18" s="43" t="n">
        <f aca="false">E18*$C$7</f>
        <v>5113.14153599386</v>
      </c>
      <c r="G18" s="43" t="n">
        <f aca="false">E18*$C$8</f>
        <v>4280.60691736703</v>
      </c>
      <c r="H18" s="43" t="n">
        <f aca="false">$C$9</f>
        <v>1795</v>
      </c>
      <c r="I18" s="43" t="n">
        <f aca="false">G18-H18</f>
        <v>2485.60691736703</v>
      </c>
      <c r="J18" s="43" t="n">
        <f aca="false">J17+I18</f>
        <v>4280.77148319119</v>
      </c>
      <c r="K18" s="44" t="str">
        <f aca="false">IF(I18&gt;=0,"Yes","Not yet")</f>
        <v>Yes</v>
      </c>
    </row>
    <row r="19" customFormat="false" ht="15" hidden="false" customHeight="false" outlineLevel="0" collapsed="false">
      <c r="A19" s="40" t="n">
        <v>8</v>
      </c>
      <c r="B19" s="41" t="n">
        <f aca="false">E18</f>
        <v>34.901990006784</v>
      </c>
      <c r="C19" s="42" t="n">
        <v>6</v>
      </c>
      <c r="D19" s="41" t="n">
        <f aca="false">B19*$C$6</f>
        <v>1.39607960027136</v>
      </c>
      <c r="E19" s="41" t="n">
        <f aca="false">B19+C19-D19</f>
        <v>39.5059104065126</v>
      </c>
      <c r="F19" s="43" t="n">
        <f aca="false">E19*$C$7</f>
        <v>5787.6158745541</v>
      </c>
      <c r="G19" s="43" t="n">
        <f aca="false">E19*$C$8</f>
        <v>4845.26164067235</v>
      </c>
      <c r="H19" s="43" t="n">
        <f aca="false">$C$9</f>
        <v>1795</v>
      </c>
      <c r="I19" s="43" t="n">
        <f aca="false">G19-H19</f>
        <v>3050.26164067235</v>
      </c>
      <c r="J19" s="43" t="n">
        <f aca="false">J18+I19</f>
        <v>7331.03312386354</v>
      </c>
      <c r="K19" s="44" t="str">
        <f aca="false">IF(I19&gt;=0,"Yes","Not yet")</f>
        <v>Yes</v>
      </c>
    </row>
    <row r="20" customFormat="false" ht="15" hidden="false" customHeight="false" outlineLevel="0" collapsed="false">
      <c r="A20" s="40" t="n">
        <v>9</v>
      </c>
      <c r="B20" s="41" t="n">
        <f aca="false">E19</f>
        <v>39.5059104065126</v>
      </c>
      <c r="C20" s="42" t="n">
        <v>6</v>
      </c>
      <c r="D20" s="41" t="n">
        <f aca="false">B20*$C$6</f>
        <v>1.58023641626051</v>
      </c>
      <c r="E20" s="41" t="n">
        <f aca="false">B20+C20-D20</f>
        <v>43.9256739902521</v>
      </c>
      <c r="F20" s="43" t="n">
        <f aca="false">E20*$C$7</f>
        <v>6435.11123957194</v>
      </c>
      <c r="G20" s="43" t="n">
        <f aca="false">E20*$C$8</f>
        <v>5387.33017504546</v>
      </c>
      <c r="H20" s="43" t="n">
        <f aca="false">$C$9</f>
        <v>1795</v>
      </c>
      <c r="I20" s="43" t="n">
        <f aca="false">G20-H20</f>
        <v>3592.33017504546</v>
      </c>
      <c r="J20" s="43" t="n">
        <f aca="false">J19+I20</f>
        <v>10923.363298909</v>
      </c>
      <c r="K20" s="44" t="str">
        <f aca="false">IF(I20&gt;=0,"Yes","Not yet")</f>
        <v>Yes</v>
      </c>
    </row>
    <row r="21" customFormat="false" ht="15" hidden="false" customHeight="false" outlineLevel="0" collapsed="false">
      <c r="A21" s="40" t="n">
        <v>10</v>
      </c>
      <c r="B21" s="41" t="n">
        <f aca="false">E20</f>
        <v>43.9256739902521</v>
      </c>
      <c r="C21" s="42" t="n">
        <v>6</v>
      </c>
      <c r="D21" s="41" t="n">
        <f aca="false">B21*$C$6</f>
        <v>1.75702695961009</v>
      </c>
      <c r="E21" s="41" t="n">
        <f aca="false">B21+C21-D21</f>
        <v>48.1686470306421</v>
      </c>
      <c r="F21" s="43" t="n">
        <f aca="false">E21*$C$7</f>
        <v>7056.70678998906</v>
      </c>
      <c r="G21" s="43" t="n">
        <f aca="false">E21*$C$8</f>
        <v>5907.71596804364</v>
      </c>
      <c r="H21" s="43" t="n">
        <f aca="false">$C$9</f>
        <v>1795</v>
      </c>
      <c r="I21" s="43" t="n">
        <f aca="false">G21-H21</f>
        <v>4112.71596804364</v>
      </c>
      <c r="J21" s="43" t="n">
        <f aca="false">J20+I21</f>
        <v>15036.0792669526</v>
      </c>
      <c r="K21" s="44" t="str">
        <f aca="false">IF(I21&gt;=0,"Yes","Not yet")</f>
        <v>Yes</v>
      </c>
    </row>
    <row r="22" customFormat="false" ht="15" hidden="false" customHeight="false" outlineLevel="0" collapsed="false">
      <c r="A22" s="40" t="n">
        <v>11</v>
      </c>
      <c r="B22" s="41" t="n">
        <f aca="false">E21</f>
        <v>48.1686470306421</v>
      </c>
      <c r="C22" s="42" t="n">
        <v>6</v>
      </c>
      <c r="D22" s="41" t="n">
        <f aca="false">B22*$C$6</f>
        <v>1.92674588122568</v>
      </c>
      <c r="E22" s="41" t="n">
        <f aca="false">B22+C22-D22</f>
        <v>52.2419011494164</v>
      </c>
      <c r="F22" s="43" t="n">
        <f aca="false">E22*$C$7</f>
        <v>7653.4385183895</v>
      </c>
      <c r="G22" s="43" t="n">
        <f aca="false">E22*$C$8</f>
        <v>6407.28632932189</v>
      </c>
      <c r="H22" s="43" t="n">
        <f aca="false">$C$9</f>
        <v>1795</v>
      </c>
      <c r="I22" s="43" t="n">
        <f aca="false">G22-H22</f>
        <v>4612.28632932189</v>
      </c>
      <c r="J22" s="43" t="n">
        <f aca="false">J21+I22</f>
        <v>19648.3655962745</v>
      </c>
      <c r="K22" s="44" t="str">
        <f aca="false">IF(I22&gt;=0,"Yes","Not yet")</f>
        <v>Yes</v>
      </c>
    </row>
    <row r="23" customFormat="false" ht="15" hidden="false" customHeight="false" outlineLevel="0" collapsed="false">
      <c r="A23" s="40" t="n">
        <v>12</v>
      </c>
      <c r="B23" s="41" t="n">
        <f aca="false">E22</f>
        <v>52.2419011494164</v>
      </c>
      <c r="C23" s="42" t="n">
        <v>6</v>
      </c>
      <c r="D23" s="41" t="n">
        <f aca="false">B23*$C$6</f>
        <v>2.08967604597666</v>
      </c>
      <c r="E23" s="41" t="n">
        <f aca="false">B23+C23-D23</f>
        <v>56.1522251034397</v>
      </c>
      <c r="F23" s="43" t="n">
        <f aca="false">E23*$C$7</f>
        <v>8226.30097765392</v>
      </c>
      <c r="G23" s="43" t="n">
        <f aca="false">E23*$C$8</f>
        <v>6886.87387614902</v>
      </c>
      <c r="H23" s="43" t="n">
        <f aca="false">$C$9</f>
        <v>1795</v>
      </c>
      <c r="I23" s="43" t="n">
        <f aca="false">G23-H23</f>
        <v>5091.87387614902</v>
      </c>
      <c r="J23" s="43" t="n">
        <f aca="false">J22+I23</f>
        <v>24740.2394724235</v>
      </c>
      <c r="K23" s="44" t="str">
        <f aca="false">IF(I23&gt;=0,"Yes","Not yet")</f>
        <v>Yes</v>
      </c>
    </row>
    <row r="24" customFormat="false" ht="15" hidden="false" customHeight="false" outlineLevel="0" collapsed="false">
      <c r="C24" s="14" t="s">
        <v>123</v>
      </c>
    </row>
    <row r="26" customFormat="false" ht="21.75" hidden="false" customHeight="true" outlineLevel="0" collapsed="false">
      <c r="A26" s="3" t="s">
        <v>124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customFormat="false" ht="15" hidden="false" customHeight="false" outlineLevel="0" collapsed="false">
      <c r="A27" s="12" t="s">
        <v>125</v>
      </c>
      <c r="D27" s="45" t="n">
        <f aca="false">E23</f>
        <v>56.1522251034397</v>
      </c>
    </row>
    <row r="28" customFormat="false" ht="15" hidden="false" customHeight="false" outlineLevel="0" collapsed="false">
      <c r="A28" s="12" t="s">
        <v>126</v>
      </c>
      <c r="D28" s="17" t="n">
        <f aca="false">F23</f>
        <v>8226.30097765392</v>
      </c>
    </row>
    <row r="29" customFormat="false" ht="15" hidden="false" customHeight="false" outlineLevel="0" collapsed="false">
      <c r="A29" s="12" t="s">
        <v>127</v>
      </c>
      <c r="D29" s="46" t="n">
        <f aca="false">IF(COUNTIF(K12:K23,"Yes")=0,"Not yet",INDEX(A12:A23,MATCH("Yes",K12:K23,0)))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8" min="3" style="0" width="13"/>
  </cols>
  <sheetData>
    <row r="1" customFormat="false" ht="25.5" hidden="false" customHeight="tru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B4" s="47" t="s">
        <v>130</v>
      </c>
      <c r="C4" s="24" t="n">
        <v>10</v>
      </c>
      <c r="D4" s="24" t="n">
        <v>20</v>
      </c>
      <c r="E4" s="24" t="n">
        <v>30</v>
      </c>
      <c r="F4" s="24" t="n">
        <v>40</v>
      </c>
      <c r="G4" s="24" t="n">
        <v>50</v>
      </c>
      <c r="H4" s="24" t="n">
        <v>60</v>
      </c>
    </row>
    <row r="5" customFormat="false" ht="15" hidden="false" customHeight="false" outlineLevel="0" collapsed="false">
      <c r="B5" s="15" t="n">
        <v>89</v>
      </c>
      <c r="C5" s="30" t="n">
        <f aca="false">C$4*($B5-($B5*Calculator!$B$14+Calculator!$B$15)-Calculator!$B$33-Calculator!$B$34)-Calculator!$B$11</f>
        <v>-1088.31</v>
      </c>
      <c r="D5" s="30" t="n">
        <f aca="false">D$4*($B5-($B5*Calculator!$B$14+Calculator!$B$15)-Calculator!$B$33-Calculator!$B$34)-Calculator!$B$11</f>
        <v>-381.62</v>
      </c>
      <c r="E5" s="30" t="n">
        <f aca="false">E$4*($B5-($B5*Calculator!$B$14+Calculator!$B$15)-Calculator!$B$33-Calculator!$B$34)-Calculator!$B$11</f>
        <v>325.07</v>
      </c>
      <c r="F5" s="30" t="n">
        <f aca="false">F$4*($B5-($B5*Calculator!$B$14+Calculator!$B$15)-Calculator!$B$33-Calculator!$B$34)-Calculator!$B$11</f>
        <v>1031.76</v>
      </c>
      <c r="G5" s="30" t="n">
        <f aca="false">G$4*($B5-($B5*Calculator!$B$14+Calculator!$B$15)-Calculator!$B$33-Calculator!$B$34)-Calculator!$B$11</f>
        <v>1738.45</v>
      </c>
      <c r="H5" s="30" t="n">
        <f aca="false">H$4*($B5-($B5*Calculator!$B$14+Calculator!$B$15)-Calculator!$B$33-Calculator!$B$34)-Calculator!$B$11</f>
        <v>2445.14</v>
      </c>
    </row>
    <row r="6" customFormat="false" ht="15" hidden="false" customHeight="false" outlineLevel="0" collapsed="false">
      <c r="B6" s="15" t="n">
        <v>99</v>
      </c>
      <c r="C6" s="30" t="n">
        <f aca="false">C$4*($B6-($B6*Calculator!$B$14+Calculator!$B$15)-Calculator!$B$33-Calculator!$B$34)-Calculator!$B$11</f>
        <v>-991.21</v>
      </c>
      <c r="D6" s="30" t="n">
        <f aca="false">D$4*($B6-($B6*Calculator!$B$14+Calculator!$B$15)-Calculator!$B$33-Calculator!$B$34)-Calculator!$B$11</f>
        <v>-187.42</v>
      </c>
      <c r="E6" s="30" t="n">
        <f aca="false">E$4*($B6-($B6*Calculator!$B$14+Calculator!$B$15)-Calculator!$B$33-Calculator!$B$34)-Calculator!$B$11</f>
        <v>616.37</v>
      </c>
      <c r="F6" s="30" t="n">
        <f aca="false">F$4*($B6-($B6*Calculator!$B$14+Calculator!$B$15)-Calculator!$B$33-Calculator!$B$34)-Calculator!$B$11</f>
        <v>1420.16</v>
      </c>
      <c r="G6" s="30" t="n">
        <f aca="false">G$4*($B6-($B6*Calculator!$B$14+Calculator!$B$15)-Calculator!$B$33-Calculator!$B$34)-Calculator!$B$11</f>
        <v>2223.95</v>
      </c>
      <c r="H6" s="30" t="n">
        <f aca="false">H$4*($B6-($B6*Calculator!$B$14+Calculator!$B$15)-Calculator!$B$33-Calculator!$B$34)-Calculator!$B$11</f>
        <v>3027.74</v>
      </c>
    </row>
    <row r="7" customFormat="false" ht="15" hidden="false" customHeight="false" outlineLevel="0" collapsed="false">
      <c r="B7" s="15" t="n">
        <v>109</v>
      </c>
      <c r="C7" s="30" t="n">
        <f aca="false">C$4*($B7-($B7*Calculator!$B$14+Calculator!$B$15)-Calculator!$B$33-Calculator!$B$34)-Calculator!$B$11</f>
        <v>-894.11</v>
      </c>
      <c r="D7" s="30" t="n">
        <f aca="false">D$4*($B7-($B7*Calculator!$B$14+Calculator!$B$15)-Calculator!$B$33-Calculator!$B$34)-Calculator!$B$11</f>
        <v>6.77999999999997</v>
      </c>
      <c r="E7" s="30" t="n">
        <f aca="false">E$4*($B7-($B7*Calculator!$B$14+Calculator!$B$15)-Calculator!$B$33-Calculator!$B$34)-Calculator!$B$11</f>
        <v>907.67</v>
      </c>
      <c r="F7" s="30" t="n">
        <f aca="false">F$4*($B7-($B7*Calculator!$B$14+Calculator!$B$15)-Calculator!$B$33-Calculator!$B$34)-Calculator!$B$11</f>
        <v>1808.56</v>
      </c>
      <c r="G7" s="30" t="n">
        <f aca="false">G$4*($B7-($B7*Calculator!$B$14+Calculator!$B$15)-Calculator!$B$33-Calculator!$B$34)-Calculator!$B$11</f>
        <v>2709.45</v>
      </c>
      <c r="H7" s="30" t="n">
        <f aca="false">H$4*($B7-($B7*Calculator!$B$14+Calculator!$B$15)-Calculator!$B$33-Calculator!$B$34)-Calculator!$B$11</f>
        <v>3610.34</v>
      </c>
    </row>
    <row r="8" customFormat="false" ht="15" hidden="false" customHeight="false" outlineLevel="0" collapsed="false">
      <c r="B8" s="15" t="n">
        <v>119</v>
      </c>
      <c r="C8" s="30" t="n">
        <f aca="false">C$4*($B8-($B8*Calculator!$B$14+Calculator!$B$15)-Calculator!$B$33-Calculator!$B$34)-Calculator!$B$11</f>
        <v>-797.01</v>
      </c>
      <c r="D8" s="30" t="n">
        <f aca="false">D$4*($B8-($B8*Calculator!$B$14+Calculator!$B$15)-Calculator!$B$33-Calculator!$B$34)-Calculator!$B$11</f>
        <v>200.98</v>
      </c>
      <c r="E8" s="30" t="n">
        <f aca="false">E$4*($B8-($B8*Calculator!$B$14+Calculator!$B$15)-Calculator!$B$33-Calculator!$B$34)-Calculator!$B$11</f>
        <v>1198.97</v>
      </c>
      <c r="F8" s="30" t="n">
        <f aca="false">F$4*($B8-($B8*Calculator!$B$14+Calculator!$B$15)-Calculator!$B$33-Calculator!$B$34)-Calculator!$B$11</f>
        <v>2196.96</v>
      </c>
      <c r="G8" s="30" t="n">
        <f aca="false">G$4*($B8-($B8*Calculator!$B$14+Calculator!$B$15)-Calculator!$B$33-Calculator!$B$34)-Calculator!$B$11</f>
        <v>3194.95</v>
      </c>
      <c r="H8" s="30" t="n">
        <f aca="false">H$4*($B8-($B8*Calculator!$B$14+Calculator!$B$15)-Calculator!$B$33-Calculator!$B$34)-Calculator!$B$11</f>
        <v>4192.94</v>
      </c>
    </row>
    <row r="9" customFormat="false" ht="15" hidden="false" customHeight="false" outlineLevel="0" collapsed="false">
      <c r="B9" s="15" t="n">
        <v>129</v>
      </c>
      <c r="C9" s="30" t="n">
        <f aca="false">C$4*($B9-($B9*Calculator!$B$14+Calculator!$B$15)-Calculator!$B$33-Calculator!$B$34)-Calculator!$B$11</f>
        <v>-699.91</v>
      </c>
      <c r="D9" s="30" t="n">
        <f aca="false">D$4*($B9-($B9*Calculator!$B$14+Calculator!$B$15)-Calculator!$B$33-Calculator!$B$34)-Calculator!$B$11</f>
        <v>395.18</v>
      </c>
      <c r="E9" s="30" t="n">
        <f aca="false">E$4*($B9-($B9*Calculator!$B$14+Calculator!$B$15)-Calculator!$B$33-Calculator!$B$34)-Calculator!$B$11</f>
        <v>1490.27</v>
      </c>
      <c r="F9" s="30" t="n">
        <f aca="false">F$4*($B9-($B9*Calculator!$B$14+Calculator!$B$15)-Calculator!$B$33-Calculator!$B$34)-Calculator!$B$11</f>
        <v>2585.36</v>
      </c>
      <c r="G9" s="30" t="n">
        <f aca="false">G$4*($B9-($B9*Calculator!$B$14+Calculator!$B$15)-Calculator!$B$33-Calculator!$B$34)-Calculator!$B$11</f>
        <v>3680.45</v>
      </c>
      <c r="H9" s="30" t="n">
        <f aca="false">H$4*($B9-($B9*Calculator!$B$14+Calculator!$B$15)-Calculator!$B$33-Calculator!$B$34)-Calculator!$B$11</f>
        <v>4775.54</v>
      </c>
    </row>
    <row r="10" customFormat="false" ht="15" hidden="false" customHeight="false" outlineLevel="0" collapsed="false">
      <c r="B10" s="15" t="n">
        <v>139</v>
      </c>
      <c r="C10" s="30" t="n">
        <f aca="false">C$4*($B10-($B10*Calculator!$B$14+Calculator!$B$15)-Calculator!$B$33-Calculator!$B$34)-Calculator!$B$11</f>
        <v>-602.81</v>
      </c>
      <c r="D10" s="30" t="n">
        <f aca="false">D$4*($B10-($B10*Calculator!$B$14+Calculator!$B$15)-Calculator!$B$33-Calculator!$B$34)-Calculator!$B$11</f>
        <v>589.38</v>
      </c>
      <c r="E10" s="30" t="n">
        <f aca="false">E$4*($B10-($B10*Calculator!$B$14+Calculator!$B$15)-Calculator!$B$33-Calculator!$B$34)-Calculator!$B$11</f>
        <v>1781.57</v>
      </c>
      <c r="F10" s="30" t="n">
        <f aca="false">F$4*($B10-($B10*Calculator!$B$14+Calculator!$B$15)-Calculator!$B$33-Calculator!$B$34)-Calculator!$B$11</f>
        <v>2973.76</v>
      </c>
      <c r="G10" s="30" t="n">
        <f aca="false">G$4*($B10-($B10*Calculator!$B$14+Calculator!$B$15)-Calculator!$B$33-Calculator!$B$34)-Calculator!$B$11</f>
        <v>4165.95</v>
      </c>
      <c r="H10" s="30" t="n">
        <f aca="false">H$4*($B10-($B10*Calculator!$B$14+Calculator!$B$15)-Calculator!$B$33-Calculator!$B$34)-Calculator!$B$11</f>
        <v>5358.14</v>
      </c>
    </row>
    <row r="11" customFormat="false" ht="15" hidden="false" customHeight="false" outlineLevel="0" collapsed="false">
      <c r="B11" s="15" t="n">
        <v>149</v>
      </c>
      <c r="C11" s="30" t="n">
        <f aca="false">C$4*($B11-($B11*Calculator!$B$14+Calculator!$B$15)-Calculator!$B$33-Calculator!$B$34)-Calculator!$B$11</f>
        <v>-505.71</v>
      </c>
      <c r="D11" s="30" t="n">
        <f aca="false">D$4*($B11-($B11*Calculator!$B$14+Calculator!$B$15)-Calculator!$B$33-Calculator!$B$34)-Calculator!$B$11</f>
        <v>783.58</v>
      </c>
      <c r="E11" s="30" t="n">
        <f aca="false">E$4*($B11-($B11*Calculator!$B$14+Calculator!$B$15)-Calculator!$B$33-Calculator!$B$34)-Calculator!$B$11</f>
        <v>2072.87</v>
      </c>
      <c r="F11" s="30" t="n">
        <f aca="false">F$4*($B11-($B11*Calculator!$B$14+Calculator!$B$15)-Calculator!$B$33-Calculator!$B$34)-Calculator!$B$11</f>
        <v>3362.16</v>
      </c>
      <c r="G11" s="30" t="n">
        <f aca="false">G$4*($B11-($B11*Calculator!$B$14+Calculator!$B$15)-Calculator!$B$33-Calculator!$B$34)-Calculator!$B$11</f>
        <v>4651.45</v>
      </c>
      <c r="H11" s="30" t="n">
        <f aca="false">H$4*($B11-($B11*Calculator!$B$14+Calculator!$B$15)-Calculator!$B$33-Calculator!$B$34)-Calculator!$B$11</f>
        <v>5940.74</v>
      </c>
    </row>
    <row r="12" customFormat="false" ht="15" hidden="false" customHeight="false" outlineLevel="0" collapsed="false">
      <c r="B12" s="15" t="n">
        <v>159</v>
      </c>
      <c r="C12" s="30" t="n">
        <f aca="false">C$4*($B12-($B12*Calculator!$B$14+Calculator!$B$15)-Calculator!$B$33-Calculator!$B$34)-Calculator!$B$11</f>
        <v>-408.61</v>
      </c>
      <c r="D12" s="30" t="n">
        <f aca="false">D$4*($B12-($B12*Calculator!$B$14+Calculator!$B$15)-Calculator!$B$33-Calculator!$B$34)-Calculator!$B$11</f>
        <v>977.78</v>
      </c>
      <c r="E12" s="30" t="n">
        <f aca="false">E$4*($B12-($B12*Calculator!$B$14+Calculator!$B$15)-Calculator!$B$33-Calculator!$B$34)-Calculator!$B$11</f>
        <v>2364.17</v>
      </c>
      <c r="F12" s="30" t="n">
        <f aca="false">F$4*($B12-($B12*Calculator!$B$14+Calculator!$B$15)-Calculator!$B$33-Calculator!$B$34)-Calculator!$B$11</f>
        <v>3750.56</v>
      </c>
      <c r="G12" s="30" t="n">
        <f aca="false">G$4*($B12-($B12*Calculator!$B$14+Calculator!$B$15)-Calculator!$B$33-Calculator!$B$34)-Calculator!$B$11</f>
        <v>5136.95</v>
      </c>
      <c r="H12" s="30" t="n">
        <f aca="false">H$4*($B12-($B12*Calculator!$B$14+Calculator!$B$15)-Calculator!$B$33-Calculator!$B$34)-Calculator!$B$11</f>
        <v>6523.34</v>
      </c>
    </row>
    <row r="13" customFormat="false" ht="15" hidden="false" customHeight="false" outlineLevel="0" collapsed="false">
      <c r="B13" s="15" t="n">
        <v>169</v>
      </c>
      <c r="C13" s="30" t="n">
        <f aca="false">C$4*($B13-($B13*Calculator!$B$14+Calculator!$B$15)-Calculator!$B$33-Calculator!$B$34)-Calculator!$B$11</f>
        <v>-311.51</v>
      </c>
      <c r="D13" s="30" t="n">
        <f aca="false">D$4*($B13-($B13*Calculator!$B$14+Calculator!$B$15)-Calculator!$B$33-Calculator!$B$34)-Calculator!$B$11</f>
        <v>1171.98</v>
      </c>
      <c r="E13" s="30" t="n">
        <f aca="false">E$4*($B13-($B13*Calculator!$B$14+Calculator!$B$15)-Calculator!$B$33-Calculator!$B$34)-Calculator!$B$11</f>
        <v>2655.47</v>
      </c>
      <c r="F13" s="30" t="n">
        <f aca="false">F$4*($B13-($B13*Calculator!$B$14+Calculator!$B$15)-Calculator!$B$33-Calculator!$B$34)-Calculator!$B$11</f>
        <v>4138.96</v>
      </c>
      <c r="G13" s="30" t="n">
        <f aca="false">G$4*($B13-($B13*Calculator!$B$14+Calculator!$B$15)-Calculator!$B$33-Calculator!$B$34)-Calculator!$B$11</f>
        <v>5622.45</v>
      </c>
      <c r="H13" s="30" t="n">
        <f aca="false">H$4*($B13-($B13*Calculator!$B$14+Calculator!$B$15)-Calculator!$B$33-Calculator!$B$34)-Calculator!$B$11</f>
        <v>7105.94</v>
      </c>
    </row>
    <row r="14" customFormat="false" ht="15" hidden="false" customHeight="false" outlineLevel="0" collapsed="false">
      <c r="B14" s="15" t="n">
        <v>179</v>
      </c>
      <c r="C14" s="30" t="n">
        <f aca="false">C$4*($B14-($B14*Calculator!$B$14+Calculator!$B$15)-Calculator!$B$33-Calculator!$B$34)-Calculator!$B$11</f>
        <v>-214.41</v>
      </c>
      <c r="D14" s="30" t="n">
        <f aca="false">D$4*($B14-($B14*Calculator!$B$14+Calculator!$B$15)-Calculator!$B$33-Calculator!$B$34)-Calculator!$B$11</f>
        <v>1366.18</v>
      </c>
      <c r="E14" s="30" t="n">
        <f aca="false">E$4*($B14-($B14*Calculator!$B$14+Calculator!$B$15)-Calculator!$B$33-Calculator!$B$34)-Calculator!$B$11</f>
        <v>2946.77</v>
      </c>
      <c r="F14" s="30" t="n">
        <f aca="false">F$4*($B14-($B14*Calculator!$B$14+Calculator!$B$15)-Calculator!$B$33-Calculator!$B$34)-Calculator!$B$11</f>
        <v>4527.36</v>
      </c>
      <c r="G14" s="30" t="n">
        <f aca="false">G$4*($B14-($B14*Calculator!$B$14+Calculator!$B$15)-Calculator!$B$33-Calculator!$B$34)-Calculator!$B$11</f>
        <v>6107.95</v>
      </c>
      <c r="H14" s="30" t="n">
        <f aca="false">H$4*($B14-($B14*Calculator!$B$14+Calculator!$B$15)-Calculator!$B$33-Calculator!$B$34)-Calculator!$B$11</f>
        <v>7688.54</v>
      </c>
    </row>
    <row r="15" customFormat="false" ht="15" hidden="false" customHeight="false" outlineLevel="0" collapsed="false">
      <c r="B15" s="15" t="n">
        <v>189</v>
      </c>
      <c r="C15" s="30" t="n">
        <f aca="false">C$4*($B15-($B15*Calculator!$B$14+Calculator!$B$15)-Calculator!$B$33-Calculator!$B$34)-Calculator!$B$11</f>
        <v>-117.31</v>
      </c>
      <c r="D15" s="30" t="n">
        <f aca="false">D$4*($B15-($B15*Calculator!$B$14+Calculator!$B$15)-Calculator!$B$33-Calculator!$B$34)-Calculator!$B$11</f>
        <v>1560.38</v>
      </c>
      <c r="E15" s="30" t="n">
        <f aca="false">E$4*($B15-($B15*Calculator!$B$14+Calculator!$B$15)-Calculator!$B$33-Calculator!$B$34)-Calculator!$B$11</f>
        <v>3238.07</v>
      </c>
      <c r="F15" s="30" t="n">
        <f aca="false">F$4*($B15-($B15*Calculator!$B$14+Calculator!$B$15)-Calculator!$B$33-Calculator!$B$34)-Calculator!$B$11</f>
        <v>4915.76</v>
      </c>
      <c r="G15" s="30" t="n">
        <f aca="false">G$4*($B15-($B15*Calculator!$B$14+Calculator!$B$15)-Calculator!$B$33-Calculator!$B$34)-Calculator!$B$11</f>
        <v>6593.45</v>
      </c>
      <c r="H15" s="30" t="n">
        <f aca="false">H$4*($B15-($B15*Calculator!$B$14+Calculator!$B$15)-Calculator!$B$33-Calculator!$B$34)-Calculator!$B$11</f>
        <v>8271.14</v>
      </c>
    </row>
    <row r="16" customFormat="false" ht="15" hidden="false" customHeight="false" outlineLevel="0" collapsed="false">
      <c r="B16" s="15" t="n">
        <v>199</v>
      </c>
      <c r="C16" s="30" t="n">
        <f aca="false">C$4*($B16-($B16*Calculator!$B$14+Calculator!$B$15)-Calculator!$B$33-Calculator!$B$34)-Calculator!$B$11</f>
        <v>-20.2099999999998</v>
      </c>
      <c r="D16" s="30" t="n">
        <f aca="false">D$4*($B16-($B16*Calculator!$B$14+Calculator!$B$15)-Calculator!$B$33-Calculator!$B$34)-Calculator!$B$11</f>
        <v>1754.58</v>
      </c>
      <c r="E16" s="30" t="n">
        <f aca="false">E$4*($B16-($B16*Calculator!$B$14+Calculator!$B$15)-Calculator!$B$33-Calculator!$B$34)-Calculator!$B$11</f>
        <v>3529.37</v>
      </c>
      <c r="F16" s="30" t="n">
        <f aca="false">F$4*($B16-($B16*Calculator!$B$14+Calculator!$B$15)-Calculator!$B$33-Calculator!$B$34)-Calculator!$B$11</f>
        <v>5304.16</v>
      </c>
      <c r="G16" s="30" t="n">
        <f aca="false">G$4*($B16-($B16*Calculator!$B$14+Calculator!$B$15)-Calculator!$B$33-Calculator!$B$34)-Calculator!$B$11</f>
        <v>7078.95</v>
      </c>
      <c r="H16" s="30" t="n">
        <f aca="false">H$4*($B16-($B16*Calculator!$B$14+Calculator!$B$15)-Calculator!$B$33-Calculator!$B$34)-Calculator!$B$11</f>
        <v>8853.74</v>
      </c>
    </row>
    <row r="18" customFormat="false" ht="15" hidden="false" customHeight="false" outlineLevel="0" collapsed="false">
      <c r="B18" s="14" t="s">
        <v>131</v>
      </c>
    </row>
    <row r="19" customFormat="false" ht="15" hidden="false" customHeight="false" outlineLevel="0" collapsed="false">
      <c r="B19" s="14" t="s">
        <v>132</v>
      </c>
    </row>
  </sheetData>
  <conditionalFormatting sqref="C5:H16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2026-09-28T05:28:09Z</dcterms:created>
  <dc:creator>openpyxl</dc:creator>
  <dc:description/>
  <dc:language>en-US</dc:language>
  <cp:lastModifiedBy/>
  <dcterms:modified xsi:type="dcterms:W3CDTF">2026-09-28T05:28:09Z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